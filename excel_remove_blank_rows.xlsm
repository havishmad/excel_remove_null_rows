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hmadconsulting-my.sharepoint.com/personal/havish_hmadconsulting_onmicrosoft_com/Documents/Documents/GitHub/excel_remove_null_rows/"/>
    </mc:Choice>
  </mc:AlternateContent>
  <xr:revisionPtr revIDLastSave="2" documentId="13_ncr:1_{0F05F314-D18E-47F0-B85C-7175F68C9A12}" xr6:coauthVersionLast="47" xr6:coauthVersionMax="47" xr10:uidLastSave="{51180040-431C-441E-BD4F-F70AEC2BBF77}"/>
  <bookViews>
    <workbookView xWindow="-108" yWindow="-108" windowWidth="23256" windowHeight="12456" activeTab="1" xr2:uid="{3116FFB6-D95F-433D-AA51-D6FDED40DBE9}"/>
  </bookViews>
  <sheets>
    <sheet name="Profile" sheetId="2" r:id="rId1"/>
    <sheet name="Formula" sheetId="1" r:id="rId2"/>
    <sheet name="Table1" sheetId="7" r:id="rId3"/>
    <sheet name="Power Query" sheetId="3" r:id="rId4"/>
    <sheet name="VBA" sheetId="4" r:id="rId5"/>
    <sheet name="Ctrl + G" sheetId="8" r:id="rId6"/>
    <sheet name="Data" sheetId="5" r:id="rId7"/>
    <sheet name="AFE_hidden_codesheet_49ddb8b8" sheetId="9" state="hidden" r:id="rId8"/>
  </sheets>
  <definedNames>
    <definedName name="_xlop.headers" hidden="1" xlm="1">#NAME?</definedName>
    <definedName name="_xlop.headers_" hidden="1" xlm="1">#NAME?</definedName>
    <definedName name="_xlop.headers_c" hidden="1" xlm="1">#NAME?</definedName>
    <definedName name="_xlop.headers_ch" hidden="1" xlm="1">#NAME?</definedName>
    <definedName name="_xlop.headers_cho" hidden="1" xlm="1">#NAME?</definedName>
    <definedName name="_xlop.headers_choi" hidden="1" xlm="1">#NAME?</definedName>
    <definedName name="_xlop.headers_choic" hidden="1" xlm="1">#NAME?</definedName>
    <definedName name="_xlop.headers_choice" hidden="1" xlm="1">#NAME?</definedName>
    <definedName name="_xlop.headers_cj" hidden="1" xlm="1">#NAME?</definedName>
    <definedName name="_xlop.headers_cjh" hidden="1" xlm="1">#NAME?</definedName>
    <definedName name="_xlpm.array" hidden="1" xlm="1">#NAME?</definedName>
    <definedName name="_xlpm.completerange" hidden="1" xlm="1">#NAME?</definedName>
    <definedName name="_xlpm.data" hidden="1" xlm="1">#NAME?</definedName>
    <definedName name="_xlpm.filtered_data" hidden="1" xlm="1">#NAME?</definedName>
    <definedName name="_xlpm.headers" hidden="1" xlm="1">#NAME?</definedName>
    <definedName name="_xlpm.headers_" hidden="1" xlm="1">#NAME?</definedName>
    <definedName name="_xlpm.headers_c" hidden="1" xlm="1">#NAME?</definedName>
    <definedName name="_xlpm.headers_ch" hidden="1" xlm="1">#NAME?</definedName>
    <definedName name="_xlpm.headers_cho" hidden="1" xlm="1">#NAME?</definedName>
    <definedName name="_xlpm.headers_choi" hidden="1" xlm="1">#NAME?</definedName>
    <definedName name="_xlpm.headers_choic" hidden="1" xlm="1">#NAME?</definedName>
    <definedName name="_xlpm.headers_choice" hidden="1" xlm="1">#NAME?</definedName>
    <definedName name="_xlpm.headers_cj" hidden="1" xlm="1">#NAME?</definedName>
    <definedName name="_xlpm.headers_cjh" hidden="1" xlm="1">#NAME?</definedName>
    <definedName name="_xlpm.INPUT" hidden="1" xlm="1">#NAME?</definedName>
    <definedName name="_xlpm.my_range" hidden="1" xlm="1">#NAME?</definedName>
    <definedName name="ExternalData_1" localSheetId="2" hidden="1">Table1!$A$1:$O$10</definedName>
    <definedName name="Remove_Rows_All_Null">_xlfn.LAMBDA(_xlpm.my_range,_xlfn.LET(_xlpm.completerange, _xlpm.my_range, _xlpm.headers, _xlfn.TAKE(_xlpm.completerange,1), _xlpm.data, _xlfn.DROP(_xlpm.completerange,1), _xlpm.filtered_data, _xlfn._xlws.FILTER(_xlpm.data,_xlfn.BYROW(_xlpm.data,_xlfn.LAMBDA(_xlpm.array,COUNTA(_xlpm.array)))&lt;&gt;0),  IF(ISBLANK(_xlpm.filtered_data),"",_xlpm.filtered_data)))</definedName>
    <definedName name="Remove_Rows_All_Null_Heading_Choice" xml:space="preserve"> _xlfn.LAMBDA(_xlpm.my_range,_xlop.headers_choice,
    _xlfn.LET(
        _xlpm.completerange, _xlpm.my_range,
        _xlpm.headers, _xlfn.TAKE(_xlpm.completerange, 1),
        _xlpm.data, _xlfn.DROP(_xlpm.completerange, 1),
        _xlpm.filtered_data, _xlfn._xlws.FILTER(
            _xlpm.data,
            _xlfn.BYROW(_xlpm.data, _xlfn.LAMBDA(_xlpm.array, COUNTA(_xlpm.array))) &lt;&gt; 0
        ),
        _xlfn.SWITCH(
            _xlpm.headers_choice,
            0,
            _xlfn.VSTACK(_xlpm.headers, IF(ISBLANK(_xlpm.filtered_data), "", _xlpm.filtered_data)),
            1,
            IF(ISBLANK(_xlpm.filtered_data), "", _xlpm.filtered_data)
        )
    )
)</definedName>
    <definedName name="Remove_Rows_All_Null_With_Heading">_xlfn.LAMBDA(_xlpm.my_range,_xlfn.LET(_xlpm.completerange, _xlpm.my_range, _xlpm.headers, _xlfn.TAKE(_xlpm.completerange,1), _xlpm.data, _xlfn.DROP(_xlpm.completerange,1), _xlpm.filtered_data, _xlfn._xlws.FILTER(_xlpm.data,_xlfn.BYROW(_xlpm.data,_xlfn.LAMBDA(_xlpm.array,COUNTA(_xlpm.array)))&lt;&gt;0),  _xlfn.VSTACK(_xlpm.headers, IF(ISBLANK(_xlpm.filtered_data),"",_xlpm.filtered_data))))</definedName>
    <definedName name="Remove_Rows_Single_Null">_xlfn.LAMBDA(_xlpm.my_range,_xlfn.LET(_xlpm.completerange, _xlpm.my_range, _xlpm.headers, _xlfn.TAKE(_xlpm.completerange,1), _xlpm.data, _xlfn.DROP(_xlpm.completerange,1), _xlpm.filtered_data, _xlfn._xlws.FILTER(_xlpm.data,_xlfn.BYROW(_xlpm.data,_xlfn.LAMBDA(_xlpm.array,COUNTA(_xlpm.array)))=COUNTA(_xlpm.headers)),  IF(ISBLANK(_xlpm.filtered_data),"",_xlpm.filtered_data)))</definedName>
    <definedName name="Remove_Rows_Single_Null_With_Heading">_xlfn.LAMBDA(_xlpm.my_range,_xlfn.LET(_xlpm.completerange, _xlpm.my_range, _xlpm.headers, _xlfn.TAKE(_xlpm.completerange,1), _xlpm.data, _xlfn.DROP(_xlpm.completerange,1), _xlpm.filtered_data, _xlfn._xlws.FILTER(_xlpm.data,_xlfn.BYROW(_xlpm.data,_xlfn.LAMBDA(_xlpm.array,COUNTA(_xlpm.array)))=COUNTA(_xlpm.headers)),  _xlfn.VSTACK(_xlpm.headers, IF(ISBLANK(_xlpm.filtered_data),"",_xlpm.filtered_data))))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03" i="1" l="1" a="1"/>
  <c r="A103" i="1" s="1"/>
  <c r="A57" i="1" a="1"/>
  <c r="A57" i="1" s="1"/>
  <c r="A80" i="1" a="1"/>
  <c r="A80" i="1" s="1"/>
  <c r="A90" i="1" a="1"/>
  <c r="A90" i="1" s="1"/>
  <c r="A67" i="1" a="1"/>
  <c r="A67" i="1" s="1"/>
  <c r="A24" i="1" a="1"/>
  <c r="A24" i="1" s="1"/>
  <c r="A15" i="1" a="1"/>
  <c r="A15" i="1" s="1"/>
  <c r="A45" i="1" a="1"/>
  <c r="A45" i="1" s="1"/>
  <c r="A36" i="1" a="1"/>
  <c r="A36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A22DA03-8544-4AC4-AC3E-68D305A59C57}" keepAlive="1" name="Query - Table1" description="Connection to the 'Table1' query in the workbook." type="5" refreshedVersion="7" background="1" saveData="1">
    <dbPr connection="Provider=Microsoft.Mashup.OleDb.1;Data Source=$Workbook$;Location=Table1;Extended Properties=&quot;&quot;" command="SELECT * FROM [Table1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<sst xmlns="http://schemas.openxmlformats.org/spreadsheetml/2006/main" count="576" uniqueCount="98">
  <si>
    <t>Order Date</t>
  </si>
  <si>
    <t>Ship Date</t>
  </si>
  <si>
    <t>Customer Name</t>
  </si>
  <si>
    <t>City</t>
  </si>
  <si>
    <t>State</t>
  </si>
  <si>
    <t>Country</t>
  </si>
  <si>
    <t>Region</t>
  </si>
  <si>
    <t>Market</t>
  </si>
  <si>
    <t>Category</t>
  </si>
  <si>
    <t>Segment</t>
  </si>
  <si>
    <t>Sub-Category</t>
  </si>
  <si>
    <t>Sales</t>
  </si>
  <si>
    <t>Quantity</t>
  </si>
  <si>
    <t>Discount</t>
  </si>
  <si>
    <t>Profit</t>
  </si>
  <si>
    <t>Aaron Bergman</t>
  </si>
  <si>
    <t>Oklahoma City</t>
  </si>
  <si>
    <t>Oklahoma</t>
  </si>
  <si>
    <t>United States</t>
  </si>
  <si>
    <t>Central US</t>
  </si>
  <si>
    <t>USCA</t>
  </si>
  <si>
    <t>Technology</t>
  </si>
  <si>
    <t>Consumer</t>
  </si>
  <si>
    <t>Phones</t>
  </si>
  <si>
    <t>Justin Ritter</t>
  </si>
  <si>
    <t>Wollongong</t>
  </si>
  <si>
    <t>New South Wales</t>
  </si>
  <si>
    <t>Australia</t>
  </si>
  <si>
    <t>Oceania</t>
  </si>
  <si>
    <t>Asia Pacific</t>
  </si>
  <si>
    <t>Furniture</t>
  </si>
  <si>
    <t>Corporate</t>
  </si>
  <si>
    <t>Chairs</t>
  </si>
  <si>
    <t>Craig Reiter</t>
  </si>
  <si>
    <t>Brisbane</t>
  </si>
  <si>
    <t>Queensland</t>
  </si>
  <si>
    <t>Katherine Murray</t>
  </si>
  <si>
    <t>Berlin</t>
  </si>
  <si>
    <t>Germany</t>
  </si>
  <si>
    <t>Western Europe</t>
  </si>
  <si>
    <t>Europe</t>
  </si>
  <si>
    <t>Home Office</t>
  </si>
  <si>
    <t>Jim Mitchum</t>
  </si>
  <si>
    <t>Sydney</t>
  </si>
  <si>
    <t>Toby Swindell</t>
  </si>
  <si>
    <t>Porirua</t>
  </si>
  <si>
    <t>Wellington</t>
  </si>
  <si>
    <t>New Zealand</t>
  </si>
  <si>
    <t>Mick Brown</t>
  </si>
  <si>
    <t>Hamilton</t>
  </si>
  <si>
    <t>Waikato</t>
  </si>
  <si>
    <t>Tables</t>
  </si>
  <si>
    <t>Bookcases</t>
  </si>
  <si>
    <t>Seattle</t>
  </si>
  <si>
    <t>Washington</t>
  </si>
  <si>
    <t>Western US</t>
  </si>
  <si>
    <t>Take rows even with single value missing</t>
  </si>
  <si>
    <t>Remove complete null rows</t>
  </si>
  <si>
    <t>Take rows even with single value missing - LAMBDA</t>
  </si>
  <si>
    <t>Remove complete null rows - LAMBDA</t>
  </si>
  <si>
    <t>Take rows even with single value missing with Heading - LAMBDA</t>
  </si>
  <si>
    <t>Remove complete null rows with Heading - LAMBDA</t>
  </si>
  <si>
    <t>Take rows even with single value missing with Heading</t>
  </si>
  <si>
    <t>Remove complete null rows with Heading</t>
  </si>
  <si>
    <t>rows</t>
  </si>
  <si>
    <t>columns</t>
  </si>
  <si>
    <t>namespace</t>
  </si>
  <si>
    <t>name</t>
  </si>
  <si>
    <t>Workbook</t>
  </si>
  <si>
    <t>start</t>
  </si>
  <si>
    <t>code_0</t>
  </si>
  <si>
    <t>Remove_Rows_All_Null = LAMBDA(my_range,</t>
  </si>
  <si>
    <t xml:space="preserve">    LET(</t>
  </si>
  <si>
    <t xml:space="preserve">        completerange, my_range,</t>
  </si>
  <si>
    <t xml:space="preserve">        headers, TAKE(completerange, 1),</t>
  </si>
  <si>
    <t xml:space="preserve">        data, DROP(completerange, 1),</t>
  </si>
  <si>
    <t xml:space="preserve">        filtered_data, FILTER(</t>
  </si>
  <si>
    <t xml:space="preserve">            data,</t>
  </si>
  <si>
    <t xml:space="preserve">            BYROW(data, LAMBDA(array, COUNTA(array))) &lt;&gt; 0</t>
  </si>
  <si>
    <t xml:space="preserve">        ),</t>
  </si>
  <si>
    <t xml:space="preserve">        IF(ISBLANK(filtered_data), "", filtered_data)</t>
  </si>
  <si>
    <t xml:space="preserve">    )</t>
  </si>
  <si>
    <t>);</t>
  </si>
  <si>
    <t/>
  </si>
  <si>
    <t>Remove_Rows_All_Null_Heading_Choice = LAMBDA(my_range, [headers_choice],</t>
  </si>
  <si>
    <t xml:space="preserve">        SWITCH(</t>
  </si>
  <si>
    <t xml:space="preserve">            headers_choice,</t>
  </si>
  <si>
    <t xml:space="preserve">            0,</t>
  </si>
  <si>
    <t xml:space="preserve">            VSTACK(headers, IF(ISBLANK(filtered_data), "", filtered_data)),</t>
  </si>
  <si>
    <t xml:space="preserve">            1,</t>
  </si>
  <si>
    <t xml:space="preserve">            IF(ISBLANK(filtered_data), "", filtered_data)</t>
  </si>
  <si>
    <t xml:space="preserve">        )</t>
  </si>
  <si>
    <t>Remove_Rows_All_Null_With_Heading = LAMBDA(my_range,</t>
  </si>
  <si>
    <t xml:space="preserve">        VSTACK(headers, IF(ISBLANK(filtered_data), "", filtered_data))</t>
  </si>
  <si>
    <t>Remove_Rows_Single_Null = LAMBDA(my_range,</t>
  </si>
  <si>
    <t xml:space="preserve">            BYROW(data, LAMBDA(array, COUNTA(array))) = COUNTA(headers)</t>
  </si>
  <si>
    <t>Remove_Rows_Single_Null_With_Heading = LAMBDA(my_range,</t>
  </si>
  <si>
    <t>Remove complete null rows with Heading Choice - LAMBDA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</si>
</sst>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theme="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thin">
        <color rgb="FF9BC2E6"/>
      </left>
      <right/>
      <top style="thin">
        <color rgb="FF9BC2E6"/>
      </top>
      <bottom style="thin">
        <color theme="4" tint="0.39997558519241921"/>
      </bottom>
      <diagonal/>
    </border>
    <border>
      <left/>
      <right/>
      <top style="thin">
        <color rgb="FF9BC2E6"/>
      </top>
      <bottom style="thin">
        <color theme="4" tint="0.39997558519241921"/>
      </bottom>
      <diagonal/>
    </border>
    <border>
      <left/>
      <right style="thin">
        <color rgb="FF9BC2E6"/>
      </right>
      <top style="thin">
        <color rgb="FF9BC2E6"/>
      </top>
      <bottom style="thin">
        <color theme="4" tint="0.39997558519241921"/>
      </bottom>
      <diagonal/>
    </border>
    <border>
      <left style="thin">
        <color rgb="FF9BC2E6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rgb="FF9BC2E6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14" fontId="1" fillId="2" borderId="1" xfId="0" applyNumberFormat="1" applyFont="1" applyFill="1" applyBorder="1"/>
    <xf numFmtId="14" fontId="1" fillId="2" borderId="2" xfId="0" applyNumberFormat="1" applyFont="1" applyFill="1" applyBorder="1"/>
    <xf numFmtId="0" fontId="1" fillId="2" borderId="2" xfId="0" applyFont="1" applyFill="1" applyBorder="1"/>
    <xf numFmtId="164" fontId="1" fillId="2" borderId="2" xfId="0" applyNumberFormat="1" applyFont="1" applyFill="1" applyBorder="1"/>
    <xf numFmtId="164" fontId="1" fillId="2" borderId="3" xfId="0" applyNumberFormat="1" applyFont="1" applyFill="1" applyBorder="1"/>
    <xf numFmtId="14" fontId="0" fillId="3" borderId="4" xfId="0" applyNumberFormat="1" applyFill="1" applyBorder="1"/>
    <xf numFmtId="14" fontId="0" fillId="3" borderId="5" xfId="0" applyNumberFormat="1" applyFill="1" applyBorder="1"/>
    <xf numFmtId="0" fontId="0" fillId="3" borderId="5" xfId="0" applyFill="1" applyBorder="1"/>
    <xf numFmtId="164" fontId="0" fillId="3" borderId="5" xfId="0" applyNumberFormat="1" applyFill="1" applyBorder="1"/>
    <xf numFmtId="164" fontId="0" fillId="3" borderId="6" xfId="0" applyNumberFormat="1" applyFill="1" applyBorder="1"/>
    <xf numFmtId="14" fontId="0" fillId="0" borderId="4" xfId="0" applyNumberFormat="1" applyBorder="1"/>
    <xf numFmtId="14" fontId="0" fillId="0" borderId="5" xfId="0" applyNumberFormat="1" applyBorder="1"/>
    <xf numFmtId="0" fontId="0" fillId="0" borderId="5" xfId="0" applyBorder="1"/>
    <xf numFmtId="164" fontId="0" fillId="0" borderId="5" xfId="0" applyNumberFormat="1" applyBorder="1"/>
    <xf numFmtId="164" fontId="0" fillId="0" borderId="6" xfId="0" applyNumberFormat="1" applyBorder="1"/>
    <xf numFmtId="15" fontId="0" fillId="0" borderId="0" xfId="0" applyNumberFormat="1"/>
    <xf numFmtId="14" fontId="0" fillId="0" borderId="0" xfId="0" applyNumberFormat="1"/>
    <xf numFmtId="0" fontId="2" fillId="0" borderId="0" xfId="0" applyFont="1"/>
    <xf numFmtId="15" fontId="2" fillId="0" borderId="0" xfId="0" applyNumberFormat="1" applyFont="1"/>
    <xf numFmtId="14" fontId="2" fillId="4" borderId="1" xfId="0" applyNumberFormat="1" applyFont="1" applyFill="1" applyBorder="1" applyAlignment="1">
      <alignment horizontal="center"/>
    </xf>
    <xf numFmtId="14" fontId="2" fillId="4" borderId="2" xfId="0" applyNumberFormat="1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164" fontId="2" fillId="4" borderId="2" xfId="0" applyNumberFormat="1" applyFont="1" applyFill="1" applyBorder="1" applyAlignment="1">
      <alignment horizontal="center"/>
    </xf>
    <xf numFmtId="164" fontId="2" fillId="4" borderId="3" xfId="0" applyNumberFormat="1" applyFont="1" applyFill="1" applyBorder="1" applyAlignment="1">
      <alignment horizontal="center"/>
    </xf>
    <xf numFmtId="14" fontId="0" fillId="5" borderId="4" xfId="0" applyNumberFormat="1" applyFill="1" applyBorder="1" applyAlignment="1">
      <alignment horizontal="center"/>
    </xf>
    <xf numFmtId="14" fontId="0" fillId="5" borderId="5" xfId="0" applyNumberFormat="1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164" fontId="0" fillId="5" borderId="5" xfId="0" applyNumberFormat="1" applyFill="1" applyBorder="1" applyAlignment="1">
      <alignment horizontal="center"/>
    </xf>
    <xf numFmtId="164" fontId="0" fillId="5" borderId="6" xfId="0" applyNumberFormat="1" applyFill="1" applyBorder="1" applyAlignment="1">
      <alignment horizontal="center"/>
    </xf>
    <xf numFmtId="14" fontId="0" fillId="6" borderId="4" xfId="0" applyNumberFormat="1" applyFill="1" applyBorder="1" applyAlignment="1">
      <alignment horizontal="center"/>
    </xf>
    <xf numFmtId="14" fontId="0" fillId="6" borderId="5" xfId="0" applyNumberFormat="1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164" fontId="0" fillId="6" borderId="5" xfId="0" applyNumberFormat="1" applyFill="1" applyBorder="1" applyAlignment="1">
      <alignment horizontal="center"/>
    </xf>
    <xf numFmtId="164" fontId="0" fillId="6" borderId="6" xfId="0" applyNumberFormat="1" applyFill="1" applyBorder="1" applyAlignment="1">
      <alignment horizontal="center"/>
    </xf>
    <xf numFmtId="14" fontId="1" fillId="2" borderId="7" xfId="0" applyNumberFormat="1" applyFont="1" applyFill="1" applyBorder="1"/>
    <xf numFmtId="0" fontId="1" fillId="2" borderId="7" xfId="0" applyFont="1" applyFill="1" applyBorder="1"/>
    <xf numFmtId="164" fontId="1" fillId="2" borderId="7" xfId="0" applyNumberFormat="1" applyFont="1" applyFill="1" applyBorder="1"/>
    <xf numFmtId="14" fontId="0" fillId="0" borderId="8" xfId="0" applyNumberFormat="1" applyBorder="1"/>
    <xf numFmtId="0" fontId="0" fillId="0" borderId="8" xfId="0" applyBorder="1"/>
    <xf numFmtId="164" fontId="0" fillId="0" borderId="8" xfId="0" applyNumberFormat="1" applyBorder="1"/>
    <xf numFmtId="22" fontId="0" fillId="0" borderId="0" xfId="0" applyNumberFormat="1"/>
    <xf numFmtId="0" fontId="0" fillId="0" borderId="0" xfId="0" quotePrefix="1"/>
  </cellXfs>
  <cellStyles count="1">
    <cellStyle name="Normal" xfId="0" builtinId="0"/>
  </cellStyles>
  <dxfs count="30">
    <dxf>
      <numFmt numFmtId="164" formatCode="&quot;$&quot;#,##0.0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164" formatCode="&quot;$&quot;#,##0.0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19" formatCode="dd/mm/yyyy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19" formatCode="dd/mm/yyyy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rgb="FF9BC2E6"/>
        </left>
        <right style="thin">
          <color rgb="FF9BC2E6"/>
        </right>
        <top style="thin">
          <color rgb="FF9BC2E6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c/havishmadhvapaty" TargetMode="External"/><Relationship Id="rId2" Type="http://schemas.openxmlformats.org/officeDocument/2006/relationships/hyperlink" Target="https://www.havishmconsulting.com/mega-bundle" TargetMode="External"/><Relationship Id="rId1" Type="http://schemas.openxmlformats.org/officeDocument/2006/relationships/image" Target="../media/image1.jpeg"/><Relationship Id="rId6" Type="http://schemas.openxmlformats.org/officeDocument/2006/relationships/hyperlink" Target="https://github.com/havishmad" TargetMode="External"/><Relationship Id="rId5" Type="http://schemas.openxmlformats.org/officeDocument/2006/relationships/hyperlink" Target="https://medium.com/@havish-madhvapaty" TargetMode="External"/><Relationship Id="rId4" Type="http://schemas.openxmlformats.org/officeDocument/2006/relationships/hyperlink" Target="https://www.havishmconsulting.com/sho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457200</xdr:colOff>
      <xdr:row>40</xdr:row>
      <xdr:rowOff>151485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E7D3AAF-ECF5-4BE0-9B4F-1650051E9D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772400" cy="7466685"/>
        </a:xfrm>
        <a:prstGeom prst="rect">
          <a:avLst/>
        </a:prstGeom>
      </xdr:spPr>
    </xdr:pic>
    <xdr:clientData/>
  </xdr:twoCellAnchor>
  <xdr:twoCellAnchor>
    <xdr:from>
      <xdr:col>13</xdr:col>
      <xdr:colOff>273981</xdr:colOff>
      <xdr:row>0</xdr:row>
      <xdr:rowOff>145144</xdr:rowOff>
    </xdr:from>
    <xdr:to>
      <xdr:col>24</xdr:col>
      <xdr:colOff>116744</xdr:colOff>
      <xdr:row>5</xdr:row>
      <xdr:rowOff>138001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E0031A8-06EE-4C6F-A620-919DAB4F39C2}"/>
            </a:ext>
          </a:extLst>
        </xdr:cNvPr>
        <xdr:cNvSpPr/>
      </xdr:nvSpPr>
      <xdr:spPr>
        <a:xfrm>
          <a:off x="8198781" y="145144"/>
          <a:ext cx="6548363" cy="9072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See Course Details: </a:t>
          </a:r>
        </a:p>
        <a:p>
          <a:pPr marL="0" indent="0"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https://www.havishmconsulting.com/mega-bundle </a:t>
          </a:r>
        </a:p>
      </xdr:txBody>
    </xdr:sp>
    <xdr:clientData/>
  </xdr:twoCellAnchor>
  <xdr:twoCellAnchor>
    <xdr:from>
      <xdr:col>13</xdr:col>
      <xdr:colOff>273981</xdr:colOff>
      <xdr:row>7</xdr:row>
      <xdr:rowOff>102776</xdr:rowOff>
    </xdr:from>
    <xdr:to>
      <xdr:col>24</xdr:col>
      <xdr:colOff>116744</xdr:colOff>
      <xdr:row>12</xdr:row>
      <xdr:rowOff>95633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184323F-E54C-47B5-A2BB-52E968A14811}"/>
            </a:ext>
          </a:extLst>
        </xdr:cNvPr>
        <xdr:cNvSpPr/>
      </xdr:nvSpPr>
      <xdr:spPr>
        <a:xfrm>
          <a:off x="8198781" y="1382936"/>
          <a:ext cx="6548363" cy="9072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YouTube: </a:t>
          </a:r>
        </a:p>
        <a:p>
          <a:pPr marL="0" indent="0"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https://www.youtube.com/c/havishmadhvapaty</a:t>
          </a:r>
        </a:p>
      </xdr:txBody>
    </xdr:sp>
    <xdr:clientData/>
  </xdr:twoCellAnchor>
  <xdr:twoCellAnchor>
    <xdr:from>
      <xdr:col>13</xdr:col>
      <xdr:colOff>273981</xdr:colOff>
      <xdr:row>14</xdr:row>
      <xdr:rowOff>60408</xdr:rowOff>
    </xdr:from>
    <xdr:to>
      <xdr:col>24</xdr:col>
      <xdr:colOff>116744</xdr:colOff>
      <xdr:row>19</xdr:row>
      <xdr:rowOff>53265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51E01B8-7D22-4BE8-9621-6804192D704C}"/>
            </a:ext>
          </a:extLst>
        </xdr:cNvPr>
        <xdr:cNvSpPr/>
      </xdr:nvSpPr>
      <xdr:spPr>
        <a:xfrm>
          <a:off x="8198781" y="2620728"/>
          <a:ext cx="6548363" cy="9072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Buy from Shop:</a:t>
          </a:r>
        </a:p>
        <a:p>
          <a:pPr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https://www.havishmconsulting.com/shop</a:t>
          </a:r>
        </a:p>
      </xdr:txBody>
    </xdr:sp>
    <xdr:clientData/>
  </xdr:twoCellAnchor>
  <xdr:twoCellAnchor>
    <xdr:from>
      <xdr:col>13</xdr:col>
      <xdr:colOff>273981</xdr:colOff>
      <xdr:row>21</xdr:row>
      <xdr:rowOff>18040</xdr:rowOff>
    </xdr:from>
    <xdr:to>
      <xdr:col>24</xdr:col>
      <xdr:colOff>116744</xdr:colOff>
      <xdr:row>26</xdr:row>
      <xdr:rowOff>10897</xdr:rowOff>
    </xdr:to>
    <xdr:sp macro="" textlink="">
      <xdr:nvSpPr>
        <xdr:cNvPr id="6" name="Rectangle: Rounded Corner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83B7406-C4F9-406D-9B4F-0BE8E22C649A}"/>
            </a:ext>
          </a:extLst>
        </xdr:cNvPr>
        <xdr:cNvSpPr/>
      </xdr:nvSpPr>
      <xdr:spPr>
        <a:xfrm>
          <a:off x="8198781" y="3858520"/>
          <a:ext cx="6548363" cy="9072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Medium:</a:t>
          </a:r>
        </a:p>
        <a:p>
          <a:pPr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https://medium.com/@havish-madhvapaty</a:t>
          </a:r>
        </a:p>
      </xdr:txBody>
    </xdr:sp>
    <xdr:clientData/>
  </xdr:twoCellAnchor>
  <xdr:twoCellAnchor>
    <xdr:from>
      <xdr:col>13</xdr:col>
      <xdr:colOff>273981</xdr:colOff>
      <xdr:row>27</xdr:row>
      <xdr:rowOff>163050</xdr:rowOff>
    </xdr:from>
    <xdr:to>
      <xdr:col>24</xdr:col>
      <xdr:colOff>116744</xdr:colOff>
      <xdr:row>32</xdr:row>
      <xdr:rowOff>155906</xdr:rowOff>
    </xdr:to>
    <xdr:sp macro="" textlink="">
      <xdr:nvSpPr>
        <xdr:cNvPr id="7" name="Rectangle: Rounded Corner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3F6E4F1-54AD-4480-B7A3-15DD745A6E62}"/>
            </a:ext>
          </a:extLst>
        </xdr:cNvPr>
        <xdr:cNvSpPr/>
      </xdr:nvSpPr>
      <xdr:spPr>
        <a:xfrm>
          <a:off x="8198781" y="5100810"/>
          <a:ext cx="6548363" cy="907256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Github:</a:t>
          </a:r>
        </a:p>
        <a:p>
          <a:pPr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https://github.com/havishmad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9AB1CCA-A6CF-436C-9949-A898078E37C4}" autoFormatId="16" applyNumberFormats="0" applyBorderFormats="0" applyFontFormats="0" applyPatternFormats="0" applyAlignmentFormats="0" applyWidthHeightFormats="0">
  <queryTableRefresh nextId="16">
    <queryTableFields count="15">
      <queryTableField id="1" name="Order Date" tableColumnId="1"/>
      <queryTableField id="2" name="Ship Date" tableColumnId="2"/>
      <queryTableField id="3" name="Customer Name" tableColumnId="3"/>
      <queryTableField id="4" name="City" tableColumnId="4"/>
      <queryTableField id="5" name="State" tableColumnId="5"/>
      <queryTableField id="6" name="Country" tableColumnId="6"/>
      <queryTableField id="7" name="Region" tableColumnId="7"/>
      <queryTableField id="8" name="Market" tableColumnId="8"/>
      <queryTableField id="9" name="Category" tableColumnId="9"/>
      <queryTableField id="10" name="Segment" tableColumnId="10"/>
      <queryTableField id="11" name="Sub-Category" tableColumnId="11"/>
      <queryTableField id="12" name="Sales" tableColumnId="12"/>
      <queryTableField id="13" name="Quantity" tableColumnId="13"/>
      <queryTableField id="14" name="Discount" tableColumnId="14"/>
      <queryTableField id="15" name="Profit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6E7748F-D507-4B25-912D-2CC1352C0E23}" name="Table1_2" displayName="Table1_2" ref="A1:O10" tableType="queryTable" totalsRowShown="0">
  <autoFilter ref="A1:O10" xr:uid="{06E7748F-D507-4B25-912D-2CC1352C0E23}"/>
  <tableColumns count="15">
    <tableColumn id="1" xr3:uid="{A04C51B0-729E-4FBF-A025-BEE8D56E950B}" uniqueName="1" name="Order Date" queryTableFieldId="1" dataDxfId="29"/>
    <tableColumn id="2" xr3:uid="{ABCE5F4C-CCF9-42A4-90A3-CE9C947040A9}" uniqueName="2" name="Ship Date" queryTableFieldId="2" dataDxfId="28"/>
    <tableColumn id="3" xr3:uid="{69241D92-B4B6-4743-9B3A-0BBE947103A1}" uniqueName="3" name="Customer Name" queryTableFieldId="3" dataDxfId="27"/>
    <tableColumn id="4" xr3:uid="{3DAA9279-3A95-4A05-80BB-3D9C975D6985}" uniqueName="4" name="City" queryTableFieldId="4" dataDxfId="26"/>
    <tableColumn id="5" xr3:uid="{DFFDAB4B-1926-4393-9939-92268A4A335E}" uniqueName="5" name="State" queryTableFieldId="5" dataDxfId="25"/>
    <tableColumn id="6" xr3:uid="{67AB2B1A-F7AB-427F-9211-141F0ACB2583}" uniqueName="6" name="Country" queryTableFieldId="6" dataDxfId="24"/>
    <tableColumn id="7" xr3:uid="{B54D221F-5307-4315-B30D-E52244BD0579}" uniqueName="7" name="Region" queryTableFieldId="7" dataDxfId="23"/>
    <tableColumn id="8" xr3:uid="{CCE5F48B-4AFE-4BE1-8097-5C331FA20DF1}" uniqueName="8" name="Market" queryTableFieldId="8" dataDxfId="22"/>
    <tableColumn id="9" xr3:uid="{5ED254C7-099E-4071-8420-30657AEF1ED6}" uniqueName="9" name="Category" queryTableFieldId="9" dataDxfId="21"/>
    <tableColumn id="10" xr3:uid="{C3933DC8-3EEE-4A96-88AD-871A96B20A71}" uniqueName="10" name="Segment" queryTableFieldId="10" dataDxfId="20"/>
    <tableColumn id="11" xr3:uid="{C2DE6E42-8BD0-4969-ACE7-8B2D73F75DFD}" uniqueName="11" name="Sub-Category" queryTableFieldId="11" dataDxfId="19"/>
    <tableColumn id="12" xr3:uid="{55F7EE30-2653-4F0D-BE6B-3B9B4EC65B1D}" uniqueName="12" name="Sales" queryTableFieldId="12"/>
    <tableColumn id="13" xr3:uid="{D41EDBF4-BB98-49B1-A26C-4D2E7B272E54}" uniqueName="13" name="Quantity" queryTableFieldId="13"/>
    <tableColumn id="14" xr3:uid="{1A2C4C0A-12AB-4A07-954A-0F958352FF99}" uniqueName="14" name="Discount" queryTableFieldId="14"/>
    <tableColumn id="15" xr3:uid="{FA79D45B-863C-49A3-BB0F-EBD69CFE9217}" uniqueName="15" name="Profit" queryTableFieldId="1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579A02-B147-42A6-A862-38C73AB01111}" name="Table1" displayName="Table1" ref="A1:O11" totalsRowShown="0" headerRowDxfId="18" headerRowBorderDxfId="17" tableBorderDxfId="16" totalsRowBorderDxfId="15">
  <autoFilter ref="A1:O11" xr:uid="{27579A02-B147-42A6-A862-38C73AB01111}"/>
  <tableColumns count="15">
    <tableColumn id="1" xr3:uid="{0172CAF3-A6A7-409F-8832-1E51D96BEBE0}" name="Order Date" dataDxfId="14"/>
    <tableColumn id="2" xr3:uid="{F77CF9E0-14F1-4C6D-87F9-C6FC8679FA2C}" name="Ship Date" dataDxfId="13"/>
    <tableColumn id="3" xr3:uid="{556FF213-037E-4026-A328-ACD83658C687}" name="Customer Name" dataDxfId="12"/>
    <tableColumn id="4" xr3:uid="{7D870284-E18A-41D7-8CE6-DDC389783DD3}" name="City" dataDxfId="11"/>
    <tableColumn id="5" xr3:uid="{B1F289C2-83FD-4277-8523-AB62F7B73DD6}" name="State" dataDxfId="10"/>
    <tableColumn id="6" xr3:uid="{BB87EEFD-EA75-4B9E-B509-8DC272F8A98F}" name="Country" dataDxfId="9"/>
    <tableColumn id="7" xr3:uid="{96486C05-B47F-4764-BB09-28DD62A664ED}" name="Region" dataDxfId="8"/>
    <tableColumn id="8" xr3:uid="{54F007ED-7394-4C6D-9FF3-D5744FC37FC3}" name="Market" dataDxfId="7"/>
    <tableColumn id="9" xr3:uid="{8ED748E6-534F-4DD0-B835-EBC38DB4CB5A}" name="Category" dataDxfId="6"/>
    <tableColumn id="10" xr3:uid="{973836C0-A2E9-4E28-B787-FAD46C94E8BE}" name="Segment" dataDxfId="5"/>
    <tableColumn id="11" xr3:uid="{F1367169-C268-4A5C-A28B-88DA32951988}" name="Sub-Category" dataDxfId="4"/>
    <tableColumn id="12" xr3:uid="{428882DA-BEF7-4604-8E6E-A5BB7C156AA3}" name="Sales" dataDxfId="3"/>
    <tableColumn id="13" xr3:uid="{4A0D4062-36A9-4465-B3D8-B9DB597C1BF7}" name="Quantity" dataDxfId="2"/>
    <tableColumn id="14" xr3:uid="{6B767A4C-5B58-4917-AC58-E6332742DFCA}" name="Discount" dataDxfId="1"/>
    <tableColumn id="15" xr3:uid="{5ADE57CD-AEDF-4950-8BB5-D3F864992105}" name="Profi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95" row="1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22212A7-6DAD-4D6F-9361-322EB1B1E9B5}">
  <we:reference id="wa200003696" version="1.0.0.0" store="en-US" storeType="OMEX"/>
  <we:alternateReferences>
    <we:reference id="WA200003696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6D1FB-D9DA-45C9-BAFE-567DD0349B3C}">
  <sheetPr codeName="Sheet1"/>
  <dimension ref="A1:Y42"/>
  <sheetViews>
    <sheetView showGridLines="0" zoomScale="61" workbookViewId="0">
      <selection activeCell="W41" sqref="W41"/>
    </sheetView>
  </sheetViews>
  <sheetFormatPr defaultColWidth="0" defaultRowHeight="15" customHeight="1" zeroHeight="1" x14ac:dyDescent="0.3"/>
  <cols>
    <col min="1" max="25" width="8.88671875" customWidth="1"/>
    <col min="26" max="16384" width="8.88671875" hidden="1"/>
  </cols>
  <sheetData>
    <row r="1" ht="14.4" x14ac:dyDescent="0.3"/>
    <row r="2" ht="14.4" x14ac:dyDescent="0.3"/>
    <row r="3" ht="14.4" x14ac:dyDescent="0.3"/>
    <row r="4" ht="14.4" x14ac:dyDescent="0.3"/>
    <row r="5" ht="14.4" x14ac:dyDescent="0.3"/>
    <row r="6" ht="14.4" x14ac:dyDescent="0.3"/>
    <row r="7" ht="14.4" x14ac:dyDescent="0.3"/>
    <row r="8" ht="14.4" x14ac:dyDescent="0.3"/>
    <row r="9" ht="14.4" x14ac:dyDescent="0.3"/>
    <row r="10" ht="14.4" x14ac:dyDescent="0.3"/>
    <row r="11" ht="14.4" x14ac:dyDescent="0.3"/>
    <row r="12" ht="14.4" x14ac:dyDescent="0.3"/>
    <row r="13" ht="14.4" x14ac:dyDescent="0.3"/>
    <row r="14" ht="14.4" x14ac:dyDescent="0.3"/>
    <row r="15" ht="14.4" x14ac:dyDescent="0.3"/>
    <row r="16" ht="14.4" x14ac:dyDescent="0.3"/>
    <row r="17" ht="14.4" x14ac:dyDescent="0.3"/>
    <row r="18" ht="14.4" x14ac:dyDescent="0.3"/>
    <row r="19" ht="14.4" x14ac:dyDescent="0.3"/>
    <row r="20" ht="14.4" x14ac:dyDescent="0.3"/>
    <row r="21" ht="14.4" x14ac:dyDescent="0.3"/>
    <row r="22" ht="14.4" x14ac:dyDescent="0.3"/>
    <row r="23" ht="14.4" x14ac:dyDescent="0.3"/>
    <row r="24" ht="14.4" x14ac:dyDescent="0.3"/>
    <row r="25" ht="14.4" x14ac:dyDescent="0.3"/>
    <row r="26" ht="14.4" x14ac:dyDescent="0.3"/>
    <row r="27" ht="14.4" x14ac:dyDescent="0.3"/>
    <row r="28" ht="14.4" x14ac:dyDescent="0.3"/>
    <row r="29" ht="14.4" x14ac:dyDescent="0.3"/>
    <row r="30" ht="14.4" x14ac:dyDescent="0.3"/>
    <row r="31" ht="14.4" x14ac:dyDescent="0.3"/>
    <row r="32" ht="14.4" x14ac:dyDescent="0.3"/>
    <row r="33" ht="14.4" x14ac:dyDescent="0.3"/>
    <row r="34" ht="14.4" x14ac:dyDescent="0.3"/>
    <row r="35" ht="14.4" x14ac:dyDescent="0.3"/>
    <row r="36" ht="14.4" x14ac:dyDescent="0.3"/>
    <row r="37" ht="14.4" x14ac:dyDescent="0.3"/>
    <row r="38" ht="14.4" x14ac:dyDescent="0.3"/>
    <row r="39" ht="14.4" x14ac:dyDescent="0.3"/>
    <row r="40" ht="14.4" x14ac:dyDescent="0.3"/>
    <row r="41" ht="14.4" x14ac:dyDescent="0.3"/>
    <row r="42" ht="14.4" x14ac:dyDescent="0.3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47E29-12DD-4401-9767-ECEC7A983850}">
  <sheetPr codeName="Sheet2"/>
  <dimension ref="A1:XFA111"/>
  <sheetViews>
    <sheetView tabSelected="1" zoomScale="115" zoomScaleNormal="115" workbookViewId="0">
      <pane ySplit="12" topLeftCell="A101" activePane="bottomLeft" state="frozen"/>
      <selection pane="bottomLeft" activeCell="A10" sqref="A10"/>
    </sheetView>
  </sheetViews>
  <sheetFormatPr defaultRowHeight="14.4" x14ac:dyDescent="0.3"/>
  <cols>
    <col min="1" max="2" width="10.33203125" bestFit="1" customWidth="1"/>
    <col min="3" max="3" width="15.21875" bestFit="1" customWidth="1"/>
    <col min="4" max="4" width="12.88671875" bestFit="1" customWidth="1"/>
    <col min="5" max="5" width="15.44140625" bestFit="1" customWidth="1"/>
    <col min="6" max="6" width="11.88671875" bestFit="1" customWidth="1"/>
    <col min="7" max="7" width="14.21875" bestFit="1" customWidth="1"/>
    <col min="8" max="8" width="10.109375" bestFit="1" customWidth="1"/>
    <col min="9" max="9" width="10.33203125" bestFit="1" customWidth="1"/>
    <col min="10" max="10" width="11.33203125" bestFit="1" customWidth="1"/>
    <col min="11" max="11" width="12.44140625" bestFit="1" customWidth="1"/>
    <col min="12" max="12" width="11.77734375" customWidth="1"/>
    <col min="13" max="14" width="8.33203125" bestFit="1" customWidth="1"/>
    <col min="15" max="15" width="8.21875" bestFit="1" customWidth="1"/>
  </cols>
  <sheetData>
    <row r="1" spans="1:1021 1036:2041 2056:3061 3076:4096 4111:5116 5131:6136 6151:7156 7171:8191 8206:9211 9226:10231 10246:11251 11266:12286 12301:13306 13321:14326 14341:15346 15361:16381" x14ac:dyDescent="0.3">
      <c r="A1" s="20" t="s">
        <v>0</v>
      </c>
      <c r="B1" s="21" t="s">
        <v>1</v>
      </c>
      <c r="C1" s="22" t="s">
        <v>2</v>
      </c>
      <c r="D1" s="22" t="s">
        <v>3</v>
      </c>
      <c r="E1" s="22" t="s">
        <v>4</v>
      </c>
      <c r="F1" s="22" t="s">
        <v>5</v>
      </c>
      <c r="G1" s="22" t="s">
        <v>6</v>
      </c>
      <c r="H1" s="22" t="s">
        <v>7</v>
      </c>
      <c r="I1" s="22" t="s">
        <v>8</v>
      </c>
      <c r="J1" s="22" t="s">
        <v>9</v>
      </c>
      <c r="K1" s="22" t="s">
        <v>10</v>
      </c>
      <c r="L1" s="23" t="s">
        <v>11</v>
      </c>
      <c r="M1" s="22" t="s">
        <v>12</v>
      </c>
      <c r="N1" s="22" t="s">
        <v>13</v>
      </c>
      <c r="O1" s="24" t="s">
        <v>14</v>
      </c>
    </row>
    <row r="2" spans="1:1021 1036:2041 2056:3061 3076:4096 4111:5116 5131:6136 6151:7156 7171:8191 8206:9211 9226:10231 10246:11251 11266:12286 12301:13306 13321:14326 14341:15346 15361:16381" x14ac:dyDescent="0.3">
      <c r="A2" s="25">
        <v>41954</v>
      </c>
      <c r="B2" s="26">
        <v>41956</v>
      </c>
      <c r="C2" s="27" t="s">
        <v>15</v>
      </c>
      <c r="D2" s="27" t="s">
        <v>16</v>
      </c>
      <c r="E2" s="27" t="s">
        <v>17</v>
      </c>
      <c r="F2" s="27" t="s">
        <v>18</v>
      </c>
      <c r="G2" s="27" t="s">
        <v>19</v>
      </c>
      <c r="H2" s="27" t="s">
        <v>20</v>
      </c>
      <c r="I2" s="27" t="s">
        <v>21</v>
      </c>
      <c r="J2" s="27" t="s">
        <v>22</v>
      </c>
      <c r="K2" s="27" t="s">
        <v>23</v>
      </c>
      <c r="L2" s="28">
        <v>221.98</v>
      </c>
      <c r="M2" s="27">
        <v>2</v>
      </c>
      <c r="N2" s="27">
        <v>0</v>
      </c>
      <c r="O2" s="29">
        <v>62.15440000000001</v>
      </c>
    </row>
    <row r="3" spans="1:1021 1036:2041 2056:3061 3076:4096 4111:5116 5131:6136 6151:7156 7171:8191 8206:9211 9226:10231 10246:11251 11266:12286 12301:13306 13321:14326 14341:15346 15361:16381" x14ac:dyDescent="0.3">
      <c r="A3" s="30"/>
      <c r="B3" s="31"/>
      <c r="C3" s="32"/>
      <c r="D3" s="32"/>
      <c r="E3" s="32"/>
      <c r="F3" s="32"/>
      <c r="G3" s="32"/>
      <c r="H3" s="32"/>
      <c r="I3" s="32"/>
      <c r="J3" s="32"/>
      <c r="K3" s="32"/>
      <c r="L3" s="33"/>
      <c r="M3" s="32"/>
      <c r="N3" s="32"/>
      <c r="O3" s="34"/>
    </row>
    <row r="4" spans="1:1021 1036:2041 2056:3061 3076:4096 4111:5116 5131:6136 6151:7156 7171:8191 8206:9211 9226:10231 10246:11251 11266:12286 12301:13306 13321:14326 14341:15346 15361:16381" x14ac:dyDescent="0.3">
      <c r="A4" s="25">
        <v>41929</v>
      </c>
      <c r="B4" s="26">
        <v>41930</v>
      </c>
      <c r="C4" s="27" t="s">
        <v>33</v>
      </c>
      <c r="D4" s="27" t="s">
        <v>34</v>
      </c>
      <c r="E4" s="27" t="s">
        <v>35</v>
      </c>
      <c r="F4" s="27" t="s">
        <v>27</v>
      </c>
      <c r="G4" s="27" t="s">
        <v>28</v>
      </c>
      <c r="H4" s="27"/>
      <c r="I4" s="27"/>
      <c r="J4" s="27"/>
      <c r="K4" s="27"/>
      <c r="L4" s="28"/>
      <c r="M4" s="27"/>
      <c r="N4" s="27"/>
      <c r="O4" s="29"/>
    </row>
    <row r="5" spans="1:1021 1036:2041 2056:3061 3076:4096 4111:5116 5131:6136 6151:7156 7171:8191 8206:9211 9226:10231 10246:11251 11266:12286 12301:13306 13321:14326 14341:15346 15361:16381" x14ac:dyDescent="0.3">
      <c r="A5" s="30">
        <v>41667</v>
      </c>
      <c r="B5" s="31">
        <v>41669</v>
      </c>
      <c r="C5" s="32" t="s">
        <v>36</v>
      </c>
      <c r="D5" s="32" t="s">
        <v>37</v>
      </c>
      <c r="E5" s="32" t="s">
        <v>37</v>
      </c>
      <c r="F5" s="32" t="s">
        <v>38</v>
      </c>
      <c r="G5" s="32" t="s">
        <v>39</v>
      </c>
      <c r="H5" s="32" t="s">
        <v>40</v>
      </c>
      <c r="I5" s="32" t="s">
        <v>21</v>
      </c>
      <c r="J5" s="32" t="s">
        <v>41</v>
      </c>
      <c r="K5" s="32" t="s">
        <v>23</v>
      </c>
      <c r="L5" s="33">
        <v>2892.5099999999998</v>
      </c>
      <c r="M5" s="32">
        <v>5</v>
      </c>
      <c r="N5" s="32">
        <v>0.1</v>
      </c>
      <c r="O5" s="34">
        <v>-96.540000000000049</v>
      </c>
    </row>
    <row r="6" spans="1:1021 1036:2041 2056:3061 3076:4096 4111:5116 5131:6136 6151:7156 7171:8191 8206:9211 9226:10231 10246:11251 11266:12286 12301:13306 13321:14326 14341:15346 15361:16381" x14ac:dyDescent="0.3">
      <c r="A6" s="25"/>
      <c r="B6" s="26"/>
      <c r="C6" s="27"/>
      <c r="D6" s="27"/>
      <c r="E6" s="27"/>
      <c r="F6" s="27"/>
      <c r="G6" s="27"/>
      <c r="H6" s="27"/>
      <c r="I6" s="27"/>
      <c r="J6" s="27"/>
      <c r="K6" s="27"/>
      <c r="L6" s="28"/>
      <c r="M6" s="27"/>
      <c r="N6" s="27"/>
      <c r="O6" s="29"/>
    </row>
    <row r="7" spans="1:1021 1036:2041 2056:3061 3076:4096 4111:5116 5131:6136 6151:7156 7171:8191 8206:9211 9226:10231 10246:11251 11266:12286 12301:13306 13321:14326 14341:15346 15361:16381" x14ac:dyDescent="0.3">
      <c r="A7" s="30">
        <v>41818</v>
      </c>
      <c r="B7" s="31">
        <v>41821</v>
      </c>
      <c r="C7" s="32" t="s">
        <v>42</v>
      </c>
      <c r="D7" s="32" t="s">
        <v>43</v>
      </c>
      <c r="E7" s="32" t="s">
        <v>26</v>
      </c>
      <c r="F7" s="32" t="s">
        <v>27</v>
      </c>
      <c r="G7" s="32" t="s">
        <v>28</v>
      </c>
      <c r="H7" s="32" t="s">
        <v>29</v>
      </c>
      <c r="I7" s="32" t="s">
        <v>21</v>
      </c>
      <c r="J7" s="32" t="s">
        <v>31</v>
      </c>
      <c r="K7" s="32" t="s">
        <v>23</v>
      </c>
      <c r="L7" s="33">
        <v>2862.6750000000002</v>
      </c>
      <c r="M7" s="32">
        <v>5</v>
      </c>
      <c r="N7" s="32">
        <v>0.1</v>
      </c>
      <c r="O7" s="34">
        <v>763.27500000000009</v>
      </c>
    </row>
    <row r="8" spans="1:1021 1036:2041 2056:3061 3076:4096 4111:5116 5131:6136 6151:7156 7171:8191 8206:9211 9226:10231 10246:11251 11266:12286 12301:13306 13321:14326 14341:15346 15361:16381" x14ac:dyDescent="0.3">
      <c r="A8" s="25">
        <v>41219</v>
      </c>
      <c r="B8" s="26">
        <v>41221</v>
      </c>
      <c r="C8" s="27" t="s">
        <v>44</v>
      </c>
      <c r="D8" s="27" t="s">
        <v>45</v>
      </c>
      <c r="E8" s="27" t="s">
        <v>46</v>
      </c>
      <c r="F8" s="27" t="s">
        <v>47</v>
      </c>
      <c r="G8" s="27" t="s">
        <v>28</v>
      </c>
      <c r="H8" s="27" t="s">
        <v>29</v>
      </c>
      <c r="I8" s="27" t="s">
        <v>30</v>
      </c>
      <c r="J8" s="27" t="s">
        <v>22</v>
      </c>
      <c r="K8" s="27" t="s">
        <v>32</v>
      </c>
      <c r="L8" s="28">
        <v>1822.0799999999997</v>
      </c>
      <c r="M8" s="27">
        <v>4</v>
      </c>
      <c r="N8" s="27">
        <v>0</v>
      </c>
      <c r="O8" s="29">
        <v>564.84</v>
      </c>
    </row>
    <row r="9" spans="1:1021 1036:2041 2056:3061 3076:4096 4111:5116 5131:6136 6151:7156 7171:8191 8206:9211 9226:10231 10246:11251 11266:12286 12301:13306 13321:14326 14341:15346 15361:16381" x14ac:dyDescent="0.3">
      <c r="A9" s="30"/>
      <c r="B9" s="31">
        <v>41382</v>
      </c>
      <c r="C9" s="32" t="s">
        <v>48</v>
      </c>
      <c r="D9" s="32" t="s">
        <v>49</v>
      </c>
      <c r="E9" s="32" t="s">
        <v>50</v>
      </c>
      <c r="F9" s="32" t="s">
        <v>47</v>
      </c>
      <c r="G9" s="32" t="s">
        <v>28</v>
      </c>
      <c r="H9" s="32" t="s">
        <v>29</v>
      </c>
      <c r="I9" s="32" t="s">
        <v>30</v>
      </c>
      <c r="J9" s="32" t="s">
        <v>22</v>
      </c>
      <c r="K9" s="32" t="s">
        <v>51</v>
      </c>
      <c r="L9" s="33">
        <v>5244.84</v>
      </c>
      <c r="M9" s="32">
        <v>6</v>
      </c>
      <c r="N9" s="32">
        <v>0</v>
      </c>
      <c r="O9" s="34">
        <v>996.4799999999999</v>
      </c>
    </row>
    <row r="10" spans="1:1021 1036:2041 2056:3061 3076:4096 4111:5116 5131:6136 6151:7156 7171:8191 8206:9211 9226:10231 10246:11251 11266:12286 12301:13306 13321:14326 14341:15346 15361:16381" x14ac:dyDescent="0.3">
      <c r="A10" s="25"/>
      <c r="B10" s="26">
        <v>41956</v>
      </c>
      <c r="C10" s="27" t="s">
        <v>15</v>
      </c>
      <c r="D10" s="27" t="s">
        <v>16</v>
      </c>
      <c r="E10" s="27" t="s">
        <v>17</v>
      </c>
      <c r="F10" s="27" t="s">
        <v>18</v>
      </c>
      <c r="G10" s="27" t="s">
        <v>19</v>
      </c>
      <c r="H10" s="27" t="s">
        <v>20</v>
      </c>
      <c r="I10" s="27" t="s">
        <v>30</v>
      </c>
      <c r="J10" s="27" t="s">
        <v>22</v>
      </c>
      <c r="K10" s="27" t="s">
        <v>52</v>
      </c>
      <c r="L10" s="28">
        <v>341.96</v>
      </c>
      <c r="M10" s="27">
        <v>2</v>
      </c>
      <c r="N10" s="27">
        <v>0</v>
      </c>
      <c r="O10" s="29">
        <v>54.713599999999985</v>
      </c>
    </row>
    <row r="11" spans="1:1021 1036:2041 2056:3061 3076:4096 4111:5116 5131:6136 6151:7156 7171:8191 8206:9211 9226:10231 10246:11251 11266:12286 12301:13306 13321:14326 14341:15346 15361:16381" x14ac:dyDescent="0.3">
      <c r="A11" s="30">
        <v>40974</v>
      </c>
      <c r="B11" s="31">
        <v>40975</v>
      </c>
      <c r="C11" s="32" t="s">
        <v>15</v>
      </c>
      <c r="D11" s="32" t="s">
        <v>53</v>
      </c>
      <c r="E11" s="32" t="s">
        <v>54</v>
      </c>
      <c r="F11" s="32" t="s">
        <v>18</v>
      </c>
      <c r="G11" s="32" t="s">
        <v>55</v>
      </c>
      <c r="H11" s="32" t="s">
        <v>20</v>
      </c>
      <c r="I11" s="32" t="s">
        <v>30</v>
      </c>
      <c r="J11" s="32" t="s">
        <v>22</v>
      </c>
      <c r="K11" s="32" t="s">
        <v>32</v>
      </c>
      <c r="L11" s="33">
        <v>48.712000000000003</v>
      </c>
      <c r="M11" s="32">
        <v>1</v>
      </c>
      <c r="N11" s="32">
        <v>0.2</v>
      </c>
      <c r="O11" s="34">
        <v>5.4800999999999966</v>
      </c>
    </row>
    <row r="14" spans="1:1021 1036:2041 2056:3061 3076:4096 4111:5116 5131:6136 6151:7156 7171:8191 8206:9211 9226:10231 10246:11251 11266:12286 12301:13306 13321:14326 14341:15346 15361:16381" x14ac:dyDescent="0.3">
      <c r="A14" s="18" t="s">
        <v>56</v>
      </c>
    </row>
    <row r="15" spans="1:1021 1036:2041 2056:3061 3076:4096 4111:5116 5131:6136 6151:7156 7171:8191 8206:9211 9226:10231 10246:11251 11266:12286 12301:13306 13321:14326 14341:15346 15361:16381" x14ac:dyDescent="0.3">
      <c r="A15" s="16" cm="1">
        <f t="array" ref="A15:O19">_xlfn.LET(_xlpm.completerange,
A1:O11,
_xlpm.headers,
_xlfn.TAKE(_xlpm.completerange,1),
_xlpm.data,
_xlfn.DROP(_xlpm.completerange,1),
_xlpm.filtered_data,
_xlfn._xlws.FILTER(_xlpm.data,_xlfn.BYROW(_xlpm.data,_xlfn.LAMBDA(_xlpm.array,COUNTA(_xlpm.array)))=COUNTA(_xlpm.headers)),
IF(ISBLANK(_xlpm.filtered_data),"",_xlpm.filtered_data))</f>
        <v>41954</v>
      </c>
      <c r="B15" s="16">
        <v>41956</v>
      </c>
      <c r="C15" t="str">
        <v>Aaron Bergman</v>
      </c>
      <c r="D15" t="str">
        <v>Oklahoma City</v>
      </c>
      <c r="E15" t="str">
        <v>Oklahoma</v>
      </c>
      <c r="F15" t="str">
        <v>United States</v>
      </c>
      <c r="G15" t="str">
        <v>Central US</v>
      </c>
      <c r="H15" t="str">
        <v>USCA</v>
      </c>
      <c r="I15" t="str">
        <v>Technology</v>
      </c>
      <c r="J15" t="str">
        <v>Consumer</v>
      </c>
      <c r="K15" t="str">
        <v>Phones</v>
      </c>
      <c r="L15">
        <v>221.98</v>
      </c>
      <c r="M15">
        <v>2</v>
      </c>
      <c r="N15">
        <v>0</v>
      </c>
      <c r="O15">
        <v>62.15440000000001</v>
      </c>
      <c r="P15" s="16"/>
      <c r="AE15" s="16"/>
      <c r="AT15" s="16"/>
      <c r="BI15" s="16"/>
      <c r="BX15" s="16"/>
      <c r="CM15" s="16"/>
      <c r="DB15" s="16"/>
      <c r="DQ15" s="16"/>
      <c r="EF15" s="16"/>
      <c r="EU15" s="16"/>
      <c r="FJ15" s="16"/>
      <c r="FY15" s="16"/>
      <c r="GN15" s="16"/>
      <c r="HC15" s="16"/>
      <c r="HR15" s="16"/>
      <c r="IG15" s="16"/>
      <c r="IV15" s="16"/>
      <c r="JK15" s="16"/>
      <c r="JZ15" s="16"/>
      <c r="KO15" s="16"/>
      <c r="LD15" s="16"/>
      <c r="LS15" s="16"/>
      <c r="MH15" s="16"/>
      <c r="MW15" s="16"/>
      <c r="NL15" s="16"/>
      <c r="OA15" s="16"/>
      <c r="OP15" s="16"/>
      <c r="PE15" s="16"/>
      <c r="PT15" s="16"/>
      <c r="QI15" s="16"/>
      <c r="QX15" s="16"/>
      <c r="RM15" s="16"/>
      <c r="SB15" s="16"/>
      <c r="SQ15" s="16"/>
      <c r="TF15" s="16"/>
      <c r="TU15" s="16"/>
      <c r="UJ15" s="16"/>
      <c r="UY15" s="16"/>
      <c r="VN15" s="16"/>
      <c r="WC15" s="16"/>
      <c r="WR15" s="16"/>
      <c r="XG15" s="16"/>
      <c r="XV15" s="16"/>
      <c r="YK15" s="16"/>
      <c r="YZ15" s="16"/>
      <c r="ZO15" s="16"/>
      <c r="AAD15" s="16"/>
      <c r="AAS15" s="16"/>
      <c r="ABH15" s="16"/>
      <c r="ABW15" s="16"/>
      <c r="ACL15" s="16"/>
      <c r="ADA15" s="16"/>
      <c r="ADP15" s="16"/>
      <c r="AEE15" s="16"/>
      <c r="AET15" s="16"/>
      <c r="AFI15" s="16"/>
      <c r="AFX15" s="16"/>
      <c r="AGM15" s="16"/>
      <c r="AHB15" s="16"/>
      <c r="AHQ15" s="16"/>
      <c r="AIF15" s="16"/>
      <c r="AIU15" s="16"/>
      <c r="AJJ15" s="16"/>
      <c r="AJY15" s="16"/>
      <c r="AKN15" s="16"/>
      <c r="ALC15" s="16"/>
      <c r="ALR15" s="16"/>
      <c r="AMG15" s="16"/>
      <c r="AMV15" s="16"/>
      <c r="ANK15" s="16"/>
      <c r="ANZ15" s="16"/>
      <c r="AOO15" s="16"/>
      <c r="APD15" s="16"/>
      <c r="APS15" s="16"/>
      <c r="AQH15" s="16"/>
      <c r="AQW15" s="16"/>
      <c r="ARL15" s="16"/>
      <c r="ASA15" s="16"/>
      <c r="ASP15" s="16"/>
      <c r="ATE15" s="16"/>
      <c r="ATT15" s="16"/>
      <c r="AUI15" s="16"/>
      <c r="AUX15" s="16"/>
      <c r="AVM15" s="16"/>
      <c r="AWB15" s="16"/>
      <c r="AWQ15" s="16"/>
      <c r="AXF15" s="16"/>
      <c r="AXU15" s="16"/>
      <c r="AYJ15" s="16"/>
      <c r="AYY15" s="16"/>
      <c r="AZN15" s="16"/>
      <c r="BAC15" s="16"/>
      <c r="BAR15" s="16"/>
      <c r="BBG15" s="16"/>
      <c r="BBV15" s="16"/>
      <c r="BCK15" s="16"/>
      <c r="BCZ15" s="16"/>
      <c r="BDO15" s="16"/>
      <c r="BED15" s="16"/>
      <c r="BES15" s="16"/>
      <c r="BFH15" s="16"/>
      <c r="BFW15" s="16"/>
      <c r="BGL15" s="16"/>
      <c r="BHA15" s="16"/>
      <c r="BHP15" s="16"/>
      <c r="BIE15" s="16"/>
      <c r="BIT15" s="16"/>
      <c r="BJI15" s="16"/>
      <c r="BJX15" s="16"/>
      <c r="BKM15" s="16"/>
      <c r="BLB15" s="16"/>
      <c r="BLQ15" s="16"/>
      <c r="BMF15" s="16"/>
      <c r="BMU15" s="16"/>
      <c r="BNJ15" s="16"/>
      <c r="BNY15" s="16"/>
      <c r="BON15" s="16"/>
      <c r="BPC15" s="16"/>
      <c r="BPR15" s="16"/>
      <c r="BQG15" s="16"/>
      <c r="BQV15" s="16"/>
      <c r="BRK15" s="16"/>
      <c r="BRZ15" s="16"/>
      <c r="BSO15" s="16"/>
      <c r="BTD15" s="16"/>
      <c r="BTS15" s="16"/>
      <c r="BUH15" s="16"/>
      <c r="BUW15" s="16"/>
      <c r="BVL15" s="16"/>
      <c r="BWA15" s="16"/>
      <c r="BWP15" s="16"/>
      <c r="BXE15" s="16"/>
      <c r="BXT15" s="16"/>
      <c r="BYI15" s="16"/>
      <c r="BYX15" s="16"/>
      <c r="BZM15" s="16"/>
      <c r="CAB15" s="16"/>
      <c r="CAQ15" s="16"/>
      <c r="CBF15" s="16"/>
      <c r="CBU15" s="16"/>
      <c r="CCJ15" s="16"/>
      <c r="CCY15" s="16"/>
      <c r="CDN15" s="16"/>
      <c r="CEC15" s="16"/>
      <c r="CER15" s="16"/>
      <c r="CFG15" s="16"/>
      <c r="CFV15" s="16"/>
      <c r="CGK15" s="16"/>
      <c r="CGZ15" s="16"/>
      <c r="CHO15" s="16"/>
      <c r="CID15" s="16"/>
      <c r="CIS15" s="16"/>
      <c r="CJH15" s="16"/>
      <c r="CJW15" s="16"/>
      <c r="CKL15" s="16"/>
      <c r="CLA15" s="16"/>
      <c r="CLP15" s="16"/>
      <c r="CME15" s="16"/>
      <c r="CMT15" s="16"/>
      <c r="CNI15" s="16"/>
      <c r="CNX15" s="16"/>
      <c r="COM15" s="16"/>
      <c r="CPB15" s="16"/>
      <c r="CPQ15" s="16"/>
      <c r="CQF15" s="16"/>
      <c r="CQU15" s="16"/>
      <c r="CRJ15" s="16"/>
      <c r="CRY15" s="16"/>
      <c r="CSN15" s="16"/>
      <c r="CTC15" s="16"/>
      <c r="CTR15" s="16"/>
      <c r="CUG15" s="16"/>
      <c r="CUV15" s="16"/>
      <c r="CVK15" s="16"/>
      <c r="CVZ15" s="16"/>
      <c r="CWO15" s="16"/>
      <c r="CXD15" s="16"/>
      <c r="CXS15" s="16"/>
      <c r="CYH15" s="16"/>
      <c r="CYW15" s="16"/>
      <c r="CZL15" s="16"/>
      <c r="DAA15" s="16"/>
      <c r="DAP15" s="16"/>
      <c r="DBE15" s="16"/>
      <c r="DBT15" s="16"/>
      <c r="DCI15" s="16"/>
      <c r="DCX15" s="16"/>
      <c r="DDM15" s="16"/>
      <c r="DEB15" s="16"/>
      <c r="DEQ15" s="16"/>
      <c r="DFF15" s="16"/>
      <c r="DFU15" s="16"/>
      <c r="DGJ15" s="16"/>
      <c r="DGY15" s="16"/>
      <c r="DHN15" s="16"/>
      <c r="DIC15" s="16"/>
      <c r="DIR15" s="16"/>
      <c r="DJG15" s="16"/>
      <c r="DJV15" s="16"/>
      <c r="DKK15" s="16"/>
      <c r="DKZ15" s="16"/>
      <c r="DLO15" s="16"/>
      <c r="DMD15" s="16"/>
      <c r="DMS15" s="16"/>
      <c r="DNH15" s="16"/>
      <c r="DNW15" s="16"/>
      <c r="DOL15" s="16"/>
      <c r="DPA15" s="16"/>
      <c r="DPP15" s="16"/>
      <c r="DQE15" s="16"/>
      <c r="DQT15" s="16"/>
      <c r="DRI15" s="16"/>
      <c r="DRX15" s="16"/>
      <c r="DSM15" s="16"/>
      <c r="DTB15" s="16"/>
      <c r="DTQ15" s="16"/>
      <c r="DUF15" s="16"/>
      <c r="DUU15" s="16"/>
      <c r="DVJ15" s="16"/>
      <c r="DVY15" s="16"/>
      <c r="DWN15" s="16"/>
      <c r="DXC15" s="16"/>
      <c r="DXR15" s="16"/>
      <c r="DYG15" s="16"/>
      <c r="DYV15" s="16"/>
      <c r="DZK15" s="16"/>
      <c r="DZZ15" s="16"/>
      <c r="EAO15" s="16"/>
      <c r="EBD15" s="16"/>
      <c r="EBS15" s="16"/>
      <c r="ECH15" s="16"/>
      <c r="ECW15" s="16"/>
      <c r="EDL15" s="16"/>
      <c r="EEA15" s="16"/>
      <c r="EEP15" s="16"/>
      <c r="EFE15" s="16"/>
      <c r="EFT15" s="16"/>
      <c r="EGI15" s="16"/>
      <c r="EGX15" s="16"/>
      <c r="EHM15" s="16"/>
      <c r="EIB15" s="16"/>
      <c r="EIQ15" s="16"/>
      <c r="EJF15" s="16"/>
      <c r="EJU15" s="16"/>
      <c r="EKJ15" s="16"/>
      <c r="EKY15" s="16"/>
      <c r="ELN15" s="16"/>
      <c r="EMC15" s="16"/>
      <c r="EMR15" s="16"/>
      <c r="ENG15" s="16"/>
      <c r="ENV15" s="16"/>
      <c r="EOK15" s="16"/>
      <c r="EOZ15" s="16"/>
      <c r="EPO15" s="16"/>
      <c r="EQD15" s="16"/>
      <c r="EQS15" s="16"/>
      <c r="ERH15" s="16"/>
      <c r="ERW15" s="16"/>
      <c r="ESL15" s="16"/>
      <c r="ETA15" s="16"/>
      <c r="ETP15" s="16"/>
      <c r="EUE15" s="16"/>
      <c r="EUT15" s="16"/>
      <c r="EVI15" s="16"/>
      <c r="EVX15" s="16"/>
      <c r="EWM15" s="16"/>
      <c r="EXB15" s="16"/>
      <c r="EXQ15" s="16"/>
      <c r="EYF15" s="16"/>
      <c r="EYU15" s="16"/>
      <c r="EZJ15" s="16"/>
      <c r="EZY15" s="16"/>
      <c r="FAN15" s="16"/>
      <c r="FBC15" s="16"/>
      <c r="FBR15" s="16"/>
      <c r="FCG15" s="16"/>
      <c r="FCV15" s="16"/>
      <c r="FDK15" s="16"/>
      <c r="FDZ15" s="16"/>
      <c r="FEO15" s="16"/>
      <c r="FFD15" s="16"/>
      <c r="FFS15" s="16"/>
      <c r="FGH15" s="16"/>
      <c r="FGW15" s="16"/>
      <c r="FHL15" s="16"/>
      <c r="FIA15" s="16"/>
      <c r="FIP15" s="16"/>
      <c r="FJE15" s="16"/>
      <c r="FJT15" s="16"/>
      <c r="FKI15" s="16"/>
      <c r="FKX15" s="16"/>
      <c r="FLM15" s="16"/>
      <c r="FMB15" s="16"/>
      <c r="FMQ15" s="16"/>
      <c r="FNF15" s="16"/>
      <c r="FNU15" s="16"/>
      <c r="FOJ15" s="16"/>
      <c r="FOY15" s="16"/>
      <c r="FPN15" s="16"/>
      <c r="FQC15" s="16"/>
      <c r="FQR15" s="16"/>
      <c r="FRG15" s="16"/>
      <c r="FRV15" s="16"/>
      <c r="FSK15" s="16"/>
      <c r="FSZ15" s="16"/>
      <c r="FTO15" s="16"/>
      <c r="FUD15" s="16"/>
      <c r="FUS15" s="16"/>
      <c r="FVH15" s="16"/>
      <c r="FVW15" s="16"/>
      <c r="FWL15" s="16"/>
      <c r="FXA15" s="16"/>
      <c r="FXP15" s="16"/>
      <c r="FYE15" s="16"/>
      <c r="FYT15" s="16"/>
      <c r="FZI15" s="16"/>
      <c r="FZX15" s="16"/>
      <c r="GAM15" s="16"/>
      <c r="GBB15" s="16"/>
      <c r="GBQ15" s="16"/>
      <c r="GCF15" s="16"/>
      <c r="GCU15" s="16"/>
      <c r="GDJ15" s="16"/>
      <c r="GDY15" s="16"/>
      <c r="GEN15" s="16"/>
      <c r="GFC15" s="16"/>
      <c r="GFR15" s="16"/>
      <c r="GGG15" s="16"/>
      <c r="GGV15" s="16"/>
      <c r="GHK15" s="16"/>
      <c r="GHZ15" s="16"/>
      <c r="GIO15" s="16"/>
      <c r="GJD15" s="16"/>
      <c r="GJS15" s="16"/>
      <c r="GKH15" s="16"/>
      <c r="GKW15" s="16"/>
      <c r="GLL15" s="16"/>
      <c r="GMA15" s="16"/>
      <c r="GMP15" s="16"/>
      <c r="GNE15" s="16"/>
      <c r="GNT15" s="16"/>
      <c r="GOI15" s="16"/>
      <c r="GOX15" s="16"/>
      <c r="GPM15" s="16"/>
      <c r="GQB15" s="16"/>
      <c r="GQQ15" s="16"/>
      <c r="GRF15" s="16"/>
      <c r="GRU15" s="16"/>
      <c r="GSJ15" s="16"/>
      <c r="GSY15" s="16"/>
      <c r="GTN15" s="16"/>
      <c r="GUC15" s="16"/>
      <c r="GUR15" s="16"/>
      <c r="GVG15" s="16"/>
      <c r="GVV15" s="16"/>
      <c r="GWK15" s="16"/>
      <c r="GWZ15" s="16"/>
      <c r="GXO15" s="16"/>
      <c r="GYD15" s="16"/>
      <c r="GYS15" s="16"/>
      <c r="GZH15" s="16"/>
      <c r="GZW15" s="16"/>
      <c r="HAL15" s="16"/>
      <c r="HBA15" s="16"/>
      <c r="HBP15" s="16"/>
      <c r="HCE15" s="16"/>
      <c r="HCT15" s="16"/>
      <c r="HDI15" s="16"/>
      <c r="HDX15" s="16"/>
      <c r="HEM15" s="16"/>
      <c r="HFB15" s="16"/>
      <c r="HFQ15" s="16"/>
      <c r="HGF15" s="16"/>
      <c r="HGU15" s="16"/>
      <c r="HHJ15" s="16"/>
      <c r="HHY15" s="16"/>
      <c r="HIN15" s="16"/>
      <c r="HJC15" s="16"/>
      <c r="HJR15" s="16"/>
      <c r="HKG15" s="16"/>
      <c r="HKV15" s="16"/>
      <c r="HLK15" s="16"/>
      <c r="HLZ15" s="16"/>
      <c r="HMO15" s="16"/>
      <c r="HND15" s="16"/>
      <c r="HNS15" s="16"/>
      <c r="HOH15" s="16"/>
      <c r="HOW15" s="16"/>
      <c r="HPL15" s="16"/>
      <c r="HQA15" s="16"/>
      <c r="HQP15" s="16"/>
      <c r="HRE15" s="16"/>
      <c r="HRT15" s="16"/>
      <c r="HSI15" s="16"/>
      <c r="HSX15" s="16"/>
      <c r="HTM15" s="16"/>
      <c r="HUB15" s="16"/>
      <c r="HUQ15" s="16"/>
      <c r="HVF15" s="16"/>
      <c r="HVU15" s="16"/>
      <c r="HWJ15" s="16"/>
      <c r="HWY15" s="16"/>
      <c r="HXN15" s="16"/>
      <c r="HYC15" s="16"/>
      <c r="HYR15" s="16"/>
      <c r="HZG15" s="16"/>
      <c r="HZV15" s="16"/>
      <c r="IAK15" s="16"/>
      <c r="IAZ15" s="16"/>
      <c r="IBO15" s="16"/>
      <c r="ICD15" s="16"/>
      <c r="ICS15" s="16"/>
      <c r="IDH15" s="16"/>
      <c r="IDW15" s="16"/>
      <c r="IEL15" s="16"/>
      <c r="IFA15" s="16"/>
      <c r="IFP15" s="16"/>
      <c r="IGE15" s="16"/>
      <c r="IGT15" s="16"/>
      <c r="IHI15" s="16"/>
      <c r="IHX15" s="16"/>
      <c r="IIM15" s="16"/>
      <c r="IJB15" s="16"/>
      <c r="IJQ15" s="16"/>
      <c r="IKF15" s="16"/>
      <c r="IKU15" s="16"/>
      <c r="ILJ15" s="16"/>
      <c r="ILY15" s="16"/>
      <c r="IMN15" s="16"/>
      <c r="INC15" s="16"/>
      <c r="INR15" s="16"/>
      <c r="IOG15" s="16"/>
      <c r="IOV15" s="16"/>
      <c r="IPK15" s="16"/>
      <c r="IPZ15" s="16"/>
      <c r="IQO15" s="16"/>
      <c r="IRD15" s="16"/>
      <c r="IRS15" s="16"/>
      <c r="ISH15" s="16"/>
      <c r="ISW15" s="16"/>
      <c r="ITL15" s="16"/>
      <c r="IUA15" s="16"/>
      <c r="IUP15" s="16"/>
      <c r="IVE15" s="16"/>
      <c r="IVT15" s="16"/>
      <c r="IWI15" s="16"/>
      <c r="IWX15" s="16"/>
      <c r="IXM15" s="16"/>
      <c r="IYB15" s="16"/>
      <c r="IYQ15" s="16"/>
      <c r="IZF15" s="16"/>
      <c r="IZU15" s="16"/>
      <c r="JAJ15" s="16"/>
      <c r="JAY15" s="16"/>
      <c r="JBN15" s="16"/>
      <c r="JCC15" s="16"/>
      <c r="JCR15" s="16"/>
      <c r="JDG15" s="16"/>
      <c r="JDV15" s="16"/>
      <c r="JEK15" s="16"/>
      <c r="JEZ15" s="16"/>
      <c r="JFO15" s="16"/>
      <c r="JGD15" s="16"/>
      <c r="JGS15" s="16"/>
      <c r="JHH15" s="16"/>
      <c r="JHW15" s="16"/>
      <c r="JIL15" s="16"/>
      <c r="JJA15" s="16"/>
      <c r="JJP15" s="16"/>
      <c r="JKE15" s="16"/>
      <c r="JKT15" s="16"/>
      <c r="JLI15" s="16"/>
      <c r="JLX15" s="16"/>
      <c r="JMM15" s="16"/>
      <c r="JNB15" s="16"/>
      <c r="JNQ15" s="16"/>
      <c r="JOF15" s="16"/>
      <c r="JOU15" s="16"/>
      <c r="JPJ15" s="16"/>
      <c r="JPY15" s="16"/>
      <c r="JQN15" s="16"/>
      <c r="JRC15" s="16"/>
      <c r="JRR15" s="16"/>
      <c r="JSG15" s="16"/>
      <c r="JSV15" s="16"/>
      <c r="JTK15" s="16"/>
      <c r="JTZ15" s="16"/>
      <c r="JUO15" s="16"/>
      <c r="JVD15" s="16"/>
      <c r="JVS15" s="16"/>
      <c r="JWH15" s="16"/>
      <c r="JWW15" s="16"/>
      <c r="JXL15" s="16"/>
      <c r="JYA15" s="16"/>
      <c r="JYP15" s="16"/>
      <c r="JZE15" s="16"/>
      <c r="JZT15" s="16"/>
      <c r="KAI15" s="16"/>
      <c r="KAX15" s="16"/>
      <c r="KBM15" s="16"/>
      <c r="KCB15" s="16"/>
      <c r="KCQ15" s="16"/>
      <c r="KDF15" s="16"/>
      <c r="KDU15" s="16"/>
      <c r="KEJ15" s="16"/>
      <c r="KEY15" s="16"/>
      <c r="KFN15" s="16"/>
      <c r="KGC15" s="16"/>
      <c r="KGR15" s="16"/>
      <c r="KHG15" s="16"/>
      <c r="KHV15" s="16"/>
      <c r="KIK15" s="16"/>
      <c r="KIZ15" s="16"/>
      <c r="KJO15" s="16"/>
      <c r="KKD15" s="16"/>
      <c r="KKS15" s="16"/>
      <c r="KLH15" s="16"/>
      <c r="KLW15" s="16"/>
      <c r="KML15" s="16"/>
      <c r="KNA15" s="16"/>
      <c r="KNP15" s="16"/>
      <c r="KOE15" s="16"/>
      <c r="KOT15" s="16"/>
      <c r="KPI15" s="16"/>
      <c r="KPX15" s="16"/>
      <c r="KQM15" s="16"/>
      <c r="KRB15" s="16"/>
      <c r="KRQ15" s="16"/>
      <c r="KSF15" s="16"/>
      <c r="KSU15" s="16"/>
      <c r="KTJ15" s="16"/>
      <c r="KTY15" s="16"/>
      <c r="KUN15" s="16"/>
      <c r="KVC15" s="16"/>
      <c r="KVR15" s="16"/>
      <c r="KWG15" s="16"/>
      <c r="KWV15" s="16"/>
      <c r="KXK15" s="16"/>
      <c r="KXZ15" s="16"/>
      <c r="KYO15" s="16"/>
      <c r="KZD15" s="16"/>
      <c r="KZS15" s="16"/>
      <c r="LAH15" s="16"/>
      <c r="LAW15" s="16"/>
      <c r="LBL15" s="16"/>
      <c r="LCA15" s="16"/>
      <c r="LCP15" s="16"/>
      <c r="LDE15" s="16"/>
      <c r="LDT15" s="16"/>
      <c r="LEI15" s="16"/>
      <c r="LEX15" s="16"/>
      <c r="LFM15" s="16"/>
      <c r="LGB15" s="16"/>
      <c r="LGQ15" s="16"/>
      <c r="LHF15" s="16"/>
      <c r="LHU15" s="16"/>
      <c r="LIJ15" s="16"/>
      <c r="LIY15" s="16"/>
      <c r="LJN15" s="16"/>
      <c r="LKC15" s="16"/>
      <c r="LKR15" s="16"/>
      <c r="LLG15" s="16"/>
      <c r="LLV15" s="16"/>
      <c r="LMK15" s="16"/>
      <c r="LMZ15" s="16"/>
      <c r="LNO15" s="16"/>
      <c r="LOD15" s="16"/>
      <c r="LOS15" s="16"/>
      <c r="LPH15" s="16"/>
      <c r="LPW15" s="16"/>
      <c r="LQL15" s="16"/>
      <c r="LRA15" s="16"/>
      <c r="LRP15" s="16"/>
      <c r="LSE15" s="16"/>
      <c r="LST15" s="16"/>
      <c r="LTI15" s="16"/>
      <c r="LTX15" s="16"/>
      <c r="LUM15" s="16"/>
      <c r="LVB15" s="16"/>
      <c r="LVQ15" s="16"/>
      <c r="LWF15" s="16"/>
      <c r="LWU15" s="16"/>
      <c r="LXJ15" s="16"/>
      <c r="LXY15" s="16"/>
      <c r="LYN15" s="16"/>
      <c r="LZC15" s="16"/>
      <c r="LZR15" s="16"/>
      <c r="MAG15" s="16"/>
      <c r="MAV15" s="16"/>
      <c r="MBK15" s="16"/>
      <c r="MBZ15" s="16"/>
      <c r="MCO15" s="16"/>
      <c r="MDD15" s="16"/>
      <c r="MDS15" s="16"/>
      <c r="MEH15" s="16"/>
      <c r="MEW15" s="16"/>
      <c r="MFL15" s="16"/>
      <c r="MGA15" s="16"/>
      <c r="MGP15" s="16"/>
      <c r="MHE15" s="16"/>
      <c r="MHT15" s="16"/>
      <c r="MII15" s="16"/>
      <c r="MIX15" s="16"/>
      <c r="MJM15" s="16"/>
      <c r="MKB15" s="16"/>
      <c r="MKQ15" s="16"/>
      <c r="MLF15" s="16"/>
      <c r="MLU15" s="16"/>
      <c r="MMJ15" s="16"/>
      <c r="MMY15" s="16"/>
      <c r="MNN15" s="16"/>
      <c r="MOC15" s="16"/>
      <c r="MOR15" s="16"/>
      <c r="MPG15" s="16"/>
      <c r="MPV15" s="16"/>
      <c r="MQK15" s="16"/>
      <c r="MQZ15" s="16"/>
      <c r="MRO15" s="16"/>
      <c r="MSD15" s="16"/>
      <c r="MSS15" s="16"/>
      <c r="MTH15" s="16"/>
      <c r="MTW15" s="16"/>
      <c r="MUL15" s="16"/>
      <c r="MVA15" s="16"/>
      <c r="MVP15" s="16"/>
      <c r="MWE15" s="16"/>
      <c r="MWT15" s="16"/>
      <c r="MXI15" s="16"/>
      <c r="MXX15" s="16"/>
      <c r="MYM15" s="16"/>
      <c r="MZB15" s="16"/>
      <c r="MZQ15" s="16"/>
      <c r="NAF15" s="16"/>
      <c r="NAU15" s="16"/>
      <c r="NBJ15" s="16"/>
      <c r="NBY15" s="16"/>
      <c r="NCN15" s="16"/>
      <c r="NDC15" s="16"/>
      <c r="NDR15" s="16"/>
      <c r="NEG15" s="16"/>
      <c r="NEV15" s="16"/>
      <c r="NFK15" s="16"/>
      <c r="NFZ15" s="16"/>
      <c r="NGO15" s="16"/>
      <c r="NHD15" s="16"/>
      <c r="NHS15" s="16"/>
      <c r="NIH15" s="16"/>
      <c r="NIW15" s="16"/>
      <c r="NJL15" s="16"/>
      <c r="NKA15" s="16"/>
      <c r="NKP15" s="16"/>
      <c r="NLE15" s="16"/>
      <c r="NLT15" s="16"/>
      <c r="NMI15" s="16"/>
      <c r="NMX15" s="16"/>
      <c r="NNM15" s="16"/>
      <c r="NOB15" s="16"/>
      <c r="NOQ15" s="16"/>
      <c r="NPF15" s="16"/>
      <c r="NPU15" s="16"/>
      <c r="NQJ15" s="16"/>
      <c r="NQY15" s="16"/>
      <c r="NRN15" s="16"/>
      <c r="NSC15" s="16"/>
      <c r="NSR15" s="16"/>
      <c r="NTG15" s="16"/>
      <c r="NTV15" s="16"/>
      <c r="NUK15" s="16"/>
      <c r="NUZ15" s="16"/>
      <c r="NVO15" s="16"/>
      <c r="NWD15" s="16"/>
      <c r="NWS15" s="16"/>
      <c r="NXH15" s="16"/>
      <c r="NXW15" s="16"/>
      <c r="NYL15" s="16"/>
      <c r="NZA15" s="16"/>
      <c r="NZP15" s="16"/>
      <c r="OAE15" s="16"/>
      <c r="OAT15" s="16"/>
      <c r="OBI15" s="16"/>
      <c r="OBX15" s="16"/>
      <c r="OCM15" s="16"/>
      <c r="ODB15" s="16"/>
      <c r="ODQ15" s="16"/>
      <c r="OEF15" s="16"/>
      <c r="OEU15" s="16"/>
      <c r="OFJ15" s="16"/>
      <c r="OFY15" s="16"/>
      <c r="OGN15" s="16"/>
      <c r="OHC15" s="16"/>
      <c r="OHR15" s="16"/>
      <c r="OIG15" s="16"/>
      <c r="OIV15" s="16"/>
      <c r="OJK15" s="16"/>
      <c r="OJZ15" s="16"/>
      <c r="OKO15" s="16"/>
      <c r="OLD15" s="16"/>
      <c r="OLS15" s="16"/>
      <c r="OMH15" s="16"/>
      <c r="OMW15" s="16"/>
      <c r="ONL15" s="16"/>
      <c r="OOA15" s="16"/>
      <c r="OOP15" s="16"/>
      <c r="OPE15" s="16"/>
      <c r="OPT15" s="16"/>
      <c r="OQI15" s="16"/>
      <c r="OQX15" s="16"/>
      <c r="ORM15" s="16"/>
      <c r="OSB15" s="16"/>
      <c r="OSQ15" s="16"/>
      <c r="OTF15" s="16"/>
      <c r="OTU15" s="16"/>
      <c r="OUJ15" s="16"/>
      <c r="OUY15" s="16"/>
      <c r="OVN15" s="16"/>
      <c r="OWC15" s="16"/>
      <c r="OWR15" s="16"/>
      <c r="OXG15" s="16"/>
      <c r="OXV15" s="16"/>
      <c r="OYK15" s="16"/>
      <c r="OYZ15" s="16"/>
      <c r="OZO15" s="16"/>
      <c r="PAD15" s="16"/>
      <c r="PAS15" s="16"/>
      <c r="PBH15" s="16"/>
      <c r="PBW15" s="16"/>
      <c r="PCL15" s="16"/>
      <c r="PDA15" s="16"/>
      <c r="PDP15" s="16"/>
      <c r="PEE15" s="16"/>
      <c r="PET15" s="16"/>
      <c r="PFI15" s="16"/>
      <c r="PFX15" s="16"/>
      <c r="PGM15" s="16"/>
      <c r="PHB15" s="16"/>
      <c r="PHQ15" s="16"/>
      <c r="PIF15" s="16"/>
      <c r="PIU15" s="16"/>
      <c r="PJJ15" s="16"/>
      <c r="PJY15" s="16"/>
      <c r="PKN15" s="16"/>
      <c r="PLC15" s="16"/>
      <c r="PLR15" s="16"/>
      <c r="PMG15" s="16"/>
      <c r="PMV15" s="16"/>
      <c r="PNK15" s="16"/>
      <c r="PNZ15" s="16"/>
      <c r="POO15" s="16"/>
      <c r="PPD15" s="16"/>
      <c r="PPS15" s="16"/>
      <c r="PQH15" s="16"/>
      <c r="PQW15" s="16"/>
      <c r="PRL15" s="16"/>
      <c r="PSA15" s="16"/>
      <c r="PSP15" s="16"/>
      <c r="PTE15" s="16"/>
      <c r="PTT15" s="16"/>
      <c r="PUI15" s="16"/>
      <c r="PUX15" s="16"/>
      <c r="PVM15" s="16"/>
      <c r="PWB15" s="16"/>
      <c r="PWQ15" s="16"/>
      <c r="PXF15" s="16"/>
      <c r="PXU15" s="16"/>
      <c r="PYJ15" s="16"/>
      <c r="PYY15" s="16"/>
      <c r="PZN15" s="16"/>
      <c r="QAC15" s="16"/>
      <c r="QAR15" s="16"/>
      <c r="QBG15" s="16"/>
      <c r="QBV15" s="16"/>
      <c r="QCK15" s="16"/>
      <c r="QCZ15" s="16"/>
      <c r="QDO15" s="16"/>
      <c r="QED15" s="16"/>
      <c r="QES15" s="16"/>
      <c r="QFH15" s="16"/>
      <c r="QFW15" s="16"/>
      <c r="QGL15" s="16"/>
      <c r="QHA15" s="16"/>
      <c r="QHP15" s="16"/>
      <c r="QIE15" s="16"/>
      <c r="QIT15" s="16"/>
      <c r="QJI15" s="16"/>
      <c r="QJX15" s="16"/>
      <c r="QKM15" s="16"/>
      <c r="QLB15" s="16"/>
      <c r="QLQ15" s="16"/>
      <c r="QMF15" s="16"/>
      <c r="QMU15" s="16"/>
      <c r="QNJ15" s="16"/>
      <c r="QNY15" s="16"/>
      <c r="QON15" s="16"/>
      <c r="QPC15" s="16"/>
      <c r="QPR15" s="16"/>
      <c r="QQG15" s="16"/>
      <c r="QQV15" s="16"/>
      <c r="QRK15" s="16"/>
      <c r="QRZ15" s="16"/>
      <c r="QSO15" s="16"/>
      <c r="QTD15" s="16"/>
      <c r="QTS15" s="16"/>
      <c r="QUH15" s="16"/>
      <c r="QUW15" s="16"/>
      <c r="QVL15" s="16"/>
      <c r="QWA15" s="16"/>
      <c r="QWP15" s="16"/>
      <c r="QXE15" s="16"/>
      <c r="QXT15" s="16"/>
      <c r="QYI15" s="16"/>
      <c r="QYX15" s="16"/>
      <c r="QZM15" s="16"/>
      <c r="RAB15" s="16"/>
      <c r="RAQ15" s="16"/>
      <c r="RBF15" s="16"/>
      <c r="RBU15" s="16"/>
      <c r="RCJ15" s="16"/>
      <c r="RCY15" s="16"/>
      <c r="RDN15" s="16"/>
      <c r="REC15" s="16"/>
      <c r="RER15" s="16"/>
      <c r="RFG15" s="16"/>
      <c r="RFV15" s="16"/>
      <c r="RGK15" s="16"/>
      <c r="RGZ15" s="16"/>
      <c r="RHO15" s="16"/>
      <c r="RID15" s="16"/>
      <c r="RIS15" s="16"/>
      <c r="RJH15" s="16"/>
      <c r="RJW15" s="16"/>
      <c r="RKL15" s="16"/>
      <c r="RLA15" s="16"/>
      <c r="RLP15" s="16"/>
      <c r="RME15" s="16"/>
      <c r="RMT15" s="16"/>
      <c r="RNI15" s="16"/>
      <c r="RNX15" s="16"/>
      <c r="ROM15" s="16"/>
      <c r="RPB15" s="16"/>
      <c r="RPQ15" s="16"/>
      <c r="RQF15" s="16"/>
      <c r="RQU15" s="16"/>
      <c r="RRJ15" s="16"/>
      <c r="RRY15" s="16"/>
      <c r="RSN15" s="16"/>
      <c r="RTC15" s="16"/>
      <c r="RTR15" s="16"/>
      <c r="RUG15" s="16"/>
      <c r="RUV15" s="16"/>
      <c r="RVK15" s="16"/>
      <c r="RVZ15" s="16"/>
      <c r="RWO15" s="16"/>
      <c r="RXD15" s="16"/>
      <c r="RXS15" s="16"/>
      <c r="RYH15" s="16"/>
      <c r="RYW15" s="16"/>
      <c r="RZL15" s="16"/>
      <c r="SAA15" s="16"/>
      <c r="SAP15" s="16"/>
      <c r="SBE15" s="16"/>
      <c r="SBT15" s="16"/>
      <c r="SCI15" s="16"/>
      <c r="SCX15" s="16"/>
      <c r="SDM15" s="16"/>
      <c r="SEB15" s="16"/>
      <c r="SEQ15" s="16"/>
      <c r="SFF15" s="16"/>
      <c r="SFU15" s="16"/>
      <c r="SGJ15" s="16"/>
      <c r="SGY15" s="16"/>
      <c r="SHN15" s="16"/>
      <c r="SIC15" s="16"/>
      <c r="SIR15" s="16"/>
      <c r="SJG15" s="16"/>
      <c r="SJV15" s="16"/>
      <c r="SKK15" s="16"/>
      <c r="SKZ15" s="16"/>
      <c r="SLO15" s="16"/>
      <c r="SMD15" s="16"/>
      <c r="SMS15" s="16"/>
      <c r="SNH15" s="16"/>
      <c r="SNW15" s="16"/>
      <c r="SOL15" s="16"/>
      <c r="SPA15" s="16"/>
      <c r="SPP15" s="16"/>
      <c r="SQE15" s="16"/>
      <c r="SQT15" s="16"/>
      <c r="SRI15" s="16"/>
      <c r="SRX15" s="16"/>
      <c r="SSM15" s="16"/>
      <c r="STB15" s="16"/>
      <c r="STQ15" s="16"/>
      <c r="SUF15" s="16"/>
      <c r="SUU15" s="16"/>
      <c r="SVJ15" s="16"/>
      <c r="SVY15" s="16"/>
      <c r="SWN15" s="16"/>
      <c r="SXC15" s="16"/>
      <c r="SXR15" s="16"/>
      <c r="SYG15" s="16"/>
      <c r="SYV15" s="16"/>
      <c r="SZK15" s="16"/>
      <c r="SZZ15" s="16"/>
      <c r="TAO15" s="16"/>
      <c r="TBD15" s="16"/>
      <c r="TBS15" s="16"/>
      <c r="TCH15" s="16"/>
      <c r="TCW15" s="16"/>
      <c r="TDL15" s="16"/>
      <c r="TEA15" s="16"/>
      <c r="TEP15" s="16"/>
      <c r="TFE15" s="16"/>
      <c r="TFT15" s="16"/>
      <c r="TGI15" s="16"/>
      <c r="TGX15" s="16"/>
      <c r="THM15" s="16"/>
      <c r="TIB15" s="16"/>
      <c r="TIQ15" s="16"/>
      <c r="TJF15" s="16"/>
      <c r="TJU15" s="16"/>
      <c r="TKJ15" s="16"/>
      <c r="TKY15" s="16"/>
      <c r="TLN15" s="16"/>
      <c r="TMC15" s="16"/>
      <c r="TMR15" s="16"/>
      <c r="TNG15" s="16"/>
      <c r="TNV15" s="16"/>
      <c r="TOK15" s="16"/>
      <c r="TOZ15" s="16"/>
      <c r="TPO15" s="16"/>
      <c r="TQD15" s="16"/>
      <c r="TQS15" s="16"/>
      <c r="TRH15" s="16"/>
      <c r="TRW15" s="16"/>
      <c r="TSL15" s="16"/>
      <c r="TTA15" s="16"/>
      <c r="TTP15" s="16"/>
      <c r="TUE15" s="16"/>
      <c r="TUT15" s="16"/>
      <c r="TVI15" s="16"/>
      <c r="TVX15" s="16"/>
      <c r="TWM15" s="16"/>
      <c r="TXB15" s="16"/>
      <c r="TXQ15" s="16"/>
      <c r="TYF15" s="16"/>
      <c r="TYU15" s="16"/>
      <c r="TZJ15" s="16"/>
      <c r="TZY15" s="16"/>
      <c r="UAN15" s="16"/>
      <c r="UBC15" s="16"/>
      <c r="UBR15" s="16"/>
      <c r="UCG15" s="16"/>
      <c r="UCV15" s="16"/>
      <c r="UDK15" s="16"/>
      <c r="UDZ15" s="16"/>
      <c r="UEO15" s="16"/>
      <c r="UFD15" s="16"/>
      <c r="UFS15" s="16"/>
      <c r="UGH15" s="16"/>
      <c r="UGW15" s="16"/>
      <c r="UHL15" s="16"/>
      <c r="UIA15" s="16"/>
      <c r="UIP15" s="16"/>
      <c r="UJE15" s="16"/>
      <c r="UJT15" s="16"/>
      <c r="UKI15" s="16"/>
      <c r="UKX15" s="16"/>
      <c r="ULM15" s="16"/>
      <c r="UMB15" s="16"/>
      <c r="UMQ15" s="16"/>
      <c r="UNF15" s="16"/>
      <c r="UNU15" s="16"/>
      <c r="UOJ15" s="16"/>
      <c r="UOY15" s="16"/>
      <c r="UPN15" s="16"/>
      <c r="UQC15" s="16"/>
      <c r="UQR15" s="16"/>
      <c r="URG15" s="16"/>
      <c r="URV15" s="16"/>
      <c r="USK15" s="16"/>
      <c r="USZ15" s="16"/>
      <c r="UTO15" s="16"/>
      <c r="UUD15" s="16"/>
      <c r="UUS15" s="16"/>
      <c r="UVH15" s="16"/>
      <c r="UVW15" s="16"/>
      <c r="UWL15" s="16"/>
      <c r="UXA15" s="16"/>
      <c r="UXP15" s="16"/>
      <c r="UYE15" s="16"/>
      <c r="UYT15" s="16"/>
      <c r="UZI15" s="16"/>
      <c r="UZX15" s="16"/>
      <c r="VAM15" s="16"/>
      <c r="VBB15" s="16"/>
      <c r="VBQ15" s="16"/>
      <c r="VCF15" s="16"/>
      <c r="VCU15" s="16"/>
      <c r="VDJ15" s="16"/>
      <c r="VDY15" s="16"/>
      <c r="VEN15" s="16"/>
      <c r="VFC15" s="16"/>
      <c r="VFR15" s="16"/>
      <c r="VGG15" s="16"/>
      <c r="VGV15" s="16"/>
      <c r="VHK15" s="16"/>
      <c r="VHZ15" s="16"/>
      <c r="VIO15" s="16"/>
      <c r="VJD15" s="16"/>
      <c r="VJS15" s="16"/>
      <c r="VKH15" s="16"/>
      <c r="VKW15" s="16"/>
      <c r="VLL15" s="16"/>
      <c r="VMA15" s="16"/>
      <c r="VMP15" s="16"/>
      <c r="VNE15" s="16"/>
      <c r="VNT15" s="16"/>
      <c r="VOI15" s="16"/>
      <c r="VOX15" s="16"/>
      <c r="VPM15" s="16"/>
      <c r="VQB15" s="16"/>
      <c r="VQQ15" s="16"/>
      <c r="VRF15" s="16"/>
      <c r="VRU15" s="16"/>
      <c r="VSJ15" s="16"/>
      <c r="VSY15" s="16"/>
      <c r="VTN15" s="16"/>
      <c r="VUC15" s="16"/>
      <c r="VUR15" s="16"/>
      <c r="VVG15" s="16"/>
      <c r="VVV15" s="16"/>
      <c r="VWK15" s="16"/>
      <c r="VWZ15" s="16"/>
      <c r="VXO15" s="16"/>
      <c r="VYD15" s="16"/>
      <c r="VYS15" s="16"/>
      <c r="VZH15" s="16"/>
      <c r="VZW15" s="16"/>
      <c r="WAL15" s="16"/>
      <c r="WBA15" s="16"/>
      <c r="WBP15" s="16"/>
      <c r="WCE15" s="16"/>
      <c r="WCT15" s="16"/>
      <c r="WDI15" s="16"/>
      <c r="WDX15" s="16"/>
      <c r="WEM15" s="16"/>
      <c r="WFB15" s="16"/>
      <c r="WFQ15" s="16"/>
      <c r="WGF15" s="16"/>
      <c r="WGU15" s="16"/>
      <c r="WHJ15" s="16"/>
      <c r="WHY15" s="16"/>
      <c r="WIN15" s="16"/>
      <c r="WJC15" s="16"/>
      <c r="WJR15" s="16"/>
      <c r="WKG15" s="16"/>
      <c r="WKV15" s="16"/>
      <c r="WLK15" s="16"/>
      <c r="WLZ15" s="16"/>
      <c r="WMO15" s="16"/>
      <c r="WND15" s="16"/>
      <c r="WNS15" s="16"/>
      <c r="WOH15" s="16"/>
      <c r="WOW15" s="16"/>
      <c r="WPL15" s="16"/>
      <c r="WQA15" s="16"/>
      <c r="WQP15" s="16"/>
      <c r="WRE15" s="16"/>
      <c r="WRT15" s="16"/>
      <c r="WSI15" s="16"/>
      <c r="WSX15" s="16"/>
      <c r="WTM15" s="16"/>
      <c r="WUB15" s="16"/>
      <c r="WUQ15" s="16"/>
      <c r="WVF15" s="16"/>
      <c r="WVU15" s="16"/>
      <c r="WWJ15" s="16"/>
      <c r="WWY15" s="16"/>
      <c r="WXN15" s="16"/>
      <c r="WYC15" s="16"/>
      <c r="WYR15" s="16"/>
      <c r="WZG15" s="16"/>
      <c r="WZV15" s="16"/>
      <c r="XAK15" s="16"/>
      <c r="XAZ15" s="16"/>
      <c r="XBO15" s="16"/>
      <c r="XCD15" s="16"/>
      <c r="XCS15" s="16"/>
      <c r="XDH15" s="16"/>
      <c r="XDW15" s="16"/>
      <c r="XEL15" s="16"/>
      <c r="XFA15" s="16"/>
    </row>
    <row r="16" spans="1:1021 1036:2041 2056:3061 3076:4096 4111:5116 5131:6136 6151:7156 7171:8191 8206:9211 9226:10231 10246:11251 11266:12286 12301:13306 13321:14326 14341:15346 15361:16381" x14ac:dyDescent="0.3">
      <c r="A16" s="16">
        <v>41667</v>
      </c>
      <c r="B16" s="16">
        <v>41669</v>
      </c>
      <c r="C16" t="str">
        <v>Katherine Murray</v>
      </c>
      <c r="D16" t="str">
        <v>Berlin</v>
      </c>
      <c r="E16" t="str">
        <v>Berlin</v>
      </c>
      <c r="F16" t="str">
        <v>Germany</v>
      </c>
      <c r="G16" t="str">
        <v>Western Europe</v>
      </c>
      <c r="H16" t="str">
        <v>Europe</v>
      </c>
      <c r="I16" t="str">
        <v>Technology</v>
      </c>
      <c r="J16" t="str">
        <v>Home Office</v>
      </c>
      <c r="K16" t="str">
        <v>Phones</v>
      </c>
      <c r="L16">
        <v>2892.5099999999998</v>
      </c>
      <c r="M16">
        <v>5</v>
      </c>
      <c r="N16">
        <v>0.1</v>
      </c>
      <c r="O16">
        <v>-96.540000000000049</v>
      </c>
      <c r="P16" s="16"/>
      <c r="AE16" s="16"/>
      <c r="AT16" s="16"/>
      <c r="BI16" s="16"/>
      <c r="BX16" s="16"/>
      <c r="CM16" s="16"/>
      <c r="DB16" s="16"/>
      <c r="DQ16" s="16"/>
      <c r="EF16" s="16"/>
      <c r="EU16" s="16"/>
      <c r="FJ16" s="16"/>
      <c r="FY16" s="16"/>
      <c r="GN16" s="16"/>
      <c r="HC16" s="16"/>
      <c r="HR16" s="16"/>
      <c r="IG16" s="16"/>
      <c r="IV16" s="16"/>
      <c r="JK16" s="16"/>
      <c r="JZ16" s="16"/>
      <c r="KO16" s="16"/>
      <c r="LD16" s="16"/>
      <c r="LS16" s="16"/>
      <c r="MH16" s="16"/>
      <c r="MW16" s="16"/>
      <c r="NL16" s="16"/>
      <c r="OA16" s="16"/>
      <c r="OP16" s="16"/>
      <c r="PE16" s="16"/>
      <c r="PT16" s="16"/>
      <c r="QI16" s="16"/>
      <c r="QX16" s="16"/>
      <c r="RM16" s="16"/>
      <c r="SB16" s="16"/>
      <c r="SQ16" s="16"/>
      <c r="TF16" s="16"/>
      <c r="TU16" s="16"/>
      <c r="UJ16" s="16"/>
      <c r="UY16" s="16"/>
      <c r="VN16" s="16"/>
      <c r="WC16" s="16"/>
      <c r="WR16" s="16"/>
      <c r="XG16" s="16"/>
      <c r="XV16" s="16"/>
      <c r="YK16" s="16"/>
      <c r="YZ16" s="16"/>
      <c r="ZO16" s="16"/>
      <c r="AAD16" s="16"/>
      <c r="AAS16" s="16"/>
      <c r="ABH16" s="16"/>
      <c r="ABW16" s="16"/>
      <c r="ACL16" s="16"/>
      <c r="ADA16" s="16"/>
      <c r="ADP16" s="16"/>
      <c r="AEE16" s="16"/>
      <c r="AET16" s="16"/>
      <c r="AFI16" s="16"/>
      <c r="AFX16" s="16"/>
      <c r="AGM16" s="16"/>
      <c r="AHB16" s="16"/>
      <c r="AHQ16" s="16"/>
      <c r="AIF16" s="16"/>
      <c r="AIU16" s="16"/>
      <c r="AJJ16" s="16"/>
      <c r="AJY16" s="16"/>
      <c r="AKN16" s="16"/>
      <c r="ALC16" s="16"/>
      <c r="ALR16" s="16"/>
      <c r="AMG16" s="16"/>
      <c r="AMV16" s="16"/>
      <c r="ANK16" s="16"/>
      <c r="ANZ16" s="16"/>
      <c r="AOO16" s="16"/>
      <c r="APD16" s="16"/>
      <c r="APS16" s="16"/>
      <c r="AQH16" s="16"/>
      <c r="AQW16" s="16"/>
      <c r="ARL16" s="16"/>
      <c r="ASA16" s="16"/>
      <c r="ASP16" s="16"/>
      <c r="ATE16" s="16"/>
      <c r="ATT16" s="16"/>
      <c r="AUI16" s="16"/>
      <c r="AUX16" s="16"/>
      <c r="AVM16" s="16"/>
      <c r="AWB16" s="16"/>
      <c r="AWQ16" s="16"/>
      <c r="AXF16" s="16"/>
      <c r="AXU16" s="16"/>
      <c r="AYJ16" s="16"/>
      <c r="AYY16" s="16"/>
      <c r="AZN16" s="16"/>
      <c r="BAC16" s="16"/>
      <c r="BAR16" s="16"/>
      <c r="BBG16" s="16"/>
      <c r="BBV16" s="16"/>
      <c r="BCK16" s="16"/>
      <c r="BCZ16" s="16"/>
      <c r="BDO16" s="16"/>
      <c r="BED16" s="16"/>
      <c r="BES16" s="16"/>
      <c r="BFH16" s="16"/>
      <c r="BFW16" s="16"/>
      <c r="BGL16" s="16"/>
      <c r="BHA16" s="16"/>
      <c r="BHP16" s="16"/>
      <c r="BIE16" s="16"/>
      <c r="BIT16" s="16"/>
      <c r="BJI16" s="16"/>
      <c r="BJX16" s="16"/>
      <c r="BKM16" s="16"/>
      <c r="BLB16" s="16"/>
      <c r="BLQ16" s="16"/>
      <c r="BMF16" s="16"/>
      <c r="BMU16" s="16"/>
      <c r="BNJ16" s="16"/>
      <c r="BNY16" s="16"/>
      <c r="BON16" s="16"/>
      <c r="BPC16" s="16"/>
      <c r="BPR16" s="16"/>
      <c r="BQG16" s="16"/>
      <c r="BQV16" s="16"/>
      <c r="BRK16" s="16"/>
      <c r="BRZ16" s="16"/>
      <c r="BSO16" s="16"/>
      <c r="BTD16" s="16"/>
      <c r="BTS16" s="16"/>
      <c r="BUH16" s="16"/>
      <c r="BUW16" s="16"/>
      <c r="BVL16" s="16"/>
      <c r="BWA16" s="16"/>
      <c r="BWP16" s="16"/>
      <c r="BXE16" s="16"/>
      <c r="BXT16" s="16"/>
      <c r="BYI16" s="16"/>
      <c r="BYX16" s="16"/>
      <c r="BZM16" s="16"/>
      <c r="CAB16" s="16"/>
      <c r="CAQ16" s="16"/>
      <c r="CBF16" s="16"/>
      <c r="CBU16" s="16"/>
      <c r="CCJ16" s="16"/>
      <c r="CCY16" s="16"/>
      <c r="CDN16" s="16"/>
      <c r="CEC16" s="16"/>
      <c r="CER16" s="16"/>
      <c r="CFG16" s="16"/>
      <c r="CFV16" s="16"/>
      <c r="CGK16" s="16"/>
      <c r="CGZ16" s="16"/>
      <c r="CHO16" s="16"/>
      <c r="CID16" s="16"/>
      <c r="CIS16" s="16"/>
      <c r="CJH16" s="16"/>
      <c r="CJW16" s="16"/>
      <c r="CKL16" s="16"/>
      <c r="CLA16" s="16"/>
      <c r="CLP16" s="16"/>
      <c r="CME16" s="16"/>
      <c r="CMT16" s="16"/>
      <c r="CNI16" s="16"/>
      <c r="CNX16" s="16"/>
      <c r="COM16" s="16"/>
      <c r="CPB16" s="16"/>
      <c r="CPQ16" s="16"/>
      <c r="CQF16" s="16"/>
      <c r="CQU16" s="16"/>
      <c r="CRJ16" s="16"/>
      <c r="CRY16" s="16"/>
      <c r="CSN16" s="16"/>
      <c r="CTC16" s="16"/>
      <c r="CTR16" s="16"/>
      <c r="CUG16" s="16"/>
      <c r="CUV16" s="16"/>
      <c r="CVK16" s="16"/>
      <c r="CVZ16" s="16"/>
      <c r="CWO16" s="16"/>
      <c r="CXD16" s="16"/>
      <c r="CXS16" s="16"/>
      <c r="CYH16" s="16"/>
      <c r="CYW16" s="16"/>
      <c r="CZL16" s="16"/>
      <c r="DAA16" s="16"/>
      <c r="DAP16" s="16"/>
      <c r="DBE16" s="16"/>
      <c r="DBT16" s="16"/>
      <c r="DCI16" s="16"/>
      <c r="DCX16" s="16"/>
      <c r="DDM16" s="16"/>
      <c r="DEB16" s="16"/>
      <c r="DEQ16" s="16"/>
      <c r="DFF16" s="16"/>
      <c r="DFU16" s="16"/>
      <c r="DGJ16" s="16"/>
      <c r="DGY16" s="16"/>
      <c r="DHN16" s="16"/>
      <c r="DIC16" s="16"/>
      <c r="DIR16" s="16"/>
      <c r="DJG16" s="16"/>
      <c r="DJV16" s="16"/>
      <c r="DKK16" s="16"/>
      <c r="DKZ16" s="16"/>
      <c r="DLO16" s="16"/>
      <c r="DMD16" s="16"/>
      <c r="DMS16" s="16"/>
      <c r="DNH16" s="16"/>
      <c r="DNW16" s="16"/>
      <c r="DOL16" s="16"/>
      <c r="DPA16" s="16"/>
      <c r="DPP16" s="16"/>
      <c r="DQE16" s="16"/>
      <c r="DQT16" s="16"/>
      <c r="DRI16" s="16"/>
      <c r="DRX16" s="16"/>
      <c r="DSM16" s="16"/>
      <c r="DTB16" s="16"/>
      <c r="DTQ16" s="16"/>
      <c r="DUF16" s="16"/>
      <c r="DUU16" s="16"/>
      <c r="DVJ16" s="16"/>
      <c r="DVY16" s="16"/>
      <c r="DWN16" s="16"/>
      <c r="DXC16" s="16"/>
      <c r="DXR16" s="16"/>
      <c r="DYG16" s="16"/>
      <c r="DYV16" s="16"/>
      <c r="DZK16" s="16"/>
      <c r="DZZ16" s="16"/>
      <c r="EAO16" s="16"/>
      <c r="EBD16" s="16"/>
      <c r="EBS16" s="16"/>
      <c r="ECH16" s="16"/>
      <c r="ECW16" s="16"/>
      <c r="EDL16" s="16"/>
      <c r="EEA16" s="16"/>
      <c r="EEP16" s="16"/>
      <c r="EFE16" s="16"/>
      <c r="EFT16" s="16"/>
      <c r="EGI16" s="16"/>
      <c r="EGX16" s="16"/>
      <c r="EHM16" s="16"/>
      <c r="EIB16" s="16"/>
      <c r="EIQ16" s="16"/>
      <c r="EJF16" s="16"/>
      <c r="EJU16" s="16"/>
      <c r="EKJ16" s="16"/>
      <c r="EKY16" s="16"/>
      <c r="ELN16" s="16"/>
      <c r="EMC16" s="16"/>
      <c r="EMR16" s="16"/>
      <c r="ENG16" s="16"/>
      <c r="ENV16" s="16"/>
      <c r="EOK16" s="16"/>
      <c r="EOZ16" s="16"/>
      <c r="EPO16" s="16"/>
      <c r="EQD16" s="16"/>
      <c r="EQS16" s="16"/>
      <c r="ERH16" s="16"/>
      <c r="ERW16" s="16"/>
      <c r="ESL16" s="16"/>
      <c r="ETA16" s="16"/>
      <c r="ETP16" s="16"/>
      <c r="EUE16" s="16"/>
      <c r="EUT16" s="16"/>
      <c r="EVI16" s="16"/>
      <c r="EVX16" s="16"/>
      <c r="EWM16" s="16"/>
      <c r="EXB16" s="16"/>
      <c r="EXQ16" s="16"/>
      <c r="EYF16" s="16"/>
      <c r="EYU16" s="16"/>
      <c r="EZJ16" s="16"/>
      <c r="EZY16" s="16"/>
      <c r="FAN16" s="16"/>
      <c r="FBC16" s="16"/>
      <c r="FBR16" s="16"/>
      <c r="FCG16" s="16"/>
      <c r="FCV16" s="16"/>
      <c r="FDK16" s="16"/>
      <c r="FDZ16" s="16"/>
      <c r="FEO16" s="16"/>
      <c r="FFD16" s="16"/>
      <c r="FFS16" s="16"/>
      <c r="FGH16" s="16"/>
      <c r="FGW16" s="16"/>
      <c r="FHL16" s="16"/>
      <c r="FIA16" s="16"/>
      <c r="FIP16" s="16"/>
      <c r="FJE16" s="16"/>
      <c r="FJT16" s="16"/>
      <c r="FKI16" s="16"/>
      <c r="FKX16" s="16"/>
      <c r="FLM16" s="16"/>
      <c r="FMB16" s="16"/>
      <c r="FMQ16" s="16"/>
      <c r="FNF16" s="16"/>
      <c r="FNU16" s="16"/>
      <c r="FOJ16" s="16"/>
      <c r="FOY16" s="16"/>
      <c r="FPN16" s="16"/>
      <c r="FQC16" s="16"/>
      <c r="FQR16" s="16"/>
      <c r="FRG16" s="16"/>
      <c r="FRV16" s="16"/>
      <c r="FSK16" s="16"/>
      <c r="FSZ16" s="16"/>
      <c r="FTO16" s="16"/>
      <c r="FUD16" s="16"/>
      <c r="FUS16" s="16"/>
      <c r="FVH16" s="16"/>
      <c r="FVW16" s="16"/>
      <c r="FWL16" s="16"/>
      <c r="FXA16" s="16"/>
      <c r="FXP16" s="16"/>
      <c r="FYE16" s="16"/>
      <c r="FYT16" s="16"/>
      <c r="FZI16" s="16"/>
      <c r="FZX16" s="16"/>
      <c r="GAM16" s="16"/>
      <c r="GBB16" s="16"/>
      <c r="GBQ16" s="16"/>
      <c r="GCF16" s="16"/>
      <c r="GCU16" s="16"/>
      <c r="GDJ16" s="16"/>
      <c r="GDY16" s="16"/>
      <c r="GEN16" s="16"/>
      <c r="GFC16" s="16"/>
      <c r="GFR16" s="16"/>
      <c r="GGG16" s="16"/>
      <c r="GGV16" s="16"/>
      <c r="GHK16" s="16"/>
      <c r="GHZ16" s="16"/>
      <c r="GIO16" s="16"/>
      <c r="GJD16" s="16"/>
      <c r="GJS16" s="16"/>
      <c r="GKH16" s="16"/>
      <c r="GKW16" s="16"/>
      <c r="GLL16" s="16"/>
      <c r="GMA16" s="16"/>
      <c r="GMP16" s="16"/>
      <c r="GNE16" s="16"/>
      <c r="GNT16" s="16"/>
      <c r="GOI16" s="16"/>
      <c r="GOX16" s="16"/>
      <c r="GPM16" s="16"/>
      <c r="GQB16" s="16"/>
      <c r="GQQ16" s="16"/>
      <c r="GRF16" s="16"/>
      <c r="GRU16" s="16"/>
      <c r="GSJ16" s="16"/>
      <c r="GSY16" s="16"/>
      <c r="GTN16" s="16"/>
      <c r="GUC16" s="16"/>
      <c r="GUR16" s="16"/>
      <c r="GVG16" s="16"/>
      <c r="GVV16" s="16"/>
      <c r="GWK16" s="16"/>
      <c r="GWZ16" s="16"/>
      <c r="GXO16" s="16"/>
      <c r="GYD16" s="16"/>
      <c r="GYS16" s="16"/>
      <c r="GZH16" s="16"/>
      <c r="GZW16" s="16"/>
      <c r="HAL16" s="16"/>
      <c r="HBA16" s="16"/>
      <c r="HBP16" s="16"/>
      <c r="HCE16" s="16"/>
      <c r="HCT16" s="16"/>
      <c r="HDI16" s="16"/>
      <c r="HDX16" s="16"/>
      <c r="HEM16" s="16"/>
      <c r="HFB16" s="16"/>
      <c r="HFQ16" s="16"/>
      <c r="HGF16" s="16"/>
      <c r="HGU16" s="16"/>
      <c r="HHJ16" s="16"/>
      <c r="HHY16" s="16"/>
      <c r="HIN16" s="16"/>
      <c r="HJC16" s="16"/>
      <c r="HJR16" s="16"/>
      <c r="HKG16" s="16"/>
      <c r="HKV16" s="16"/>
      <c r="HLK16" s="16"/>
      <c r="HLZ16" s="16"/>
      <c r="HMO16" s="16"/>
      <c r="HND16" s="16"/>
      <c r="HNS16" s="16"/>
      <c r="HOH16" s="16"/>
      <c r="HOW16" s="16"/>
      <c r="HPL16" s="16"/>
      <c r="HQA16" s="16"/>
      <c r="HQP16" s="16"/>
      <c r="HRE16" s="16"/>
      <c r="HRT16" s="16"/>
      <c r="HSI16" s="16"/>
      <c r="HSX16" s="16"/>
      <c r="HTM16" s="16"/>
      <c r="HUB16" s="16"/>
      <c r="HUQ16" s="16"/>
      <c r="HVF16" s="16"/>
      <c r="HVU16" s="16"/>
      <c r="HWJ16" s="16"/>
      <c r="HWY16" s="16"/>
      <c r="HXN16" s="16"/>
      <c r="HYC16" s="16"/>
      <c r="HYR16" s="16"/>
      <c r="HZG16" s="16"/>
      <c r="HZV16" s="16"/>
      <c r="IAK16" s="16"/>
      <c r="IAZ16" s="16"/>
      <c r="IBO16" s="16"/>
      <c r="ICD16" s="16"/>
      <c r="ICS16" s="16"/>
      <c r="IDH16" s="16"/>
      <c r="IDW16" s="16"/>
      <c r="IEL16" s="16"/>
      <c r="IFA16" s="16"/>
      <c r="IFP16" s="16"/>
      <c r="IGE16" s="16"/>
      <c r="IGT16" s="16"/>
      <c r="IHI16" s="16"/>
      <c r="IHX16" s="16"/>
      <c r="IIM16" s="16"/>
      <c r="IJB16" s="16"/>
      <c r="IJQ16" s="16"/>
      <c r="IKF16" s="16"/>
      <c r="IKU16" s="16"/>
      <c r="ILJ16" s="16"/>
      <c r="ILY16" s="16"/>
      <c r="IMN16" s="16"/>
      <c r="INC16" s="16"/>
      <c r="INR16" s="16"/>
      <c r="IOG16" s="16"/>
      <c r="IOV16" s="16"/>
      <c r="IPK16" s="16"/>
      <c r="IPZ16" s="16"/>
      <c r="IQO16" s="16"/>
      <c r="IRD16" s="16"/>
      <c r="IRS16" s="16"/>
      <c r="ISH16" s="16"/>
      <c r="ISW16" s="16"/>
      <c r="ITL16" s="16"/>
      <c r="IUA16" s="16"/>
      <c r="IUP16" s="16"/>
      <c r="IVE16" s="16"/>
      <c r="IVT16" s="16"/>
      <c r="IWI16" s="16"/>
      <c r="IWX16" s="16"/>
      <c r="IXM16" s="16"/>
      <c r="IYB16" s="16"/>
      <c r="IYQ16" s="16"/>
      <c r="IZF16" s="16"/>
      <c r="IZU16" s="16"/>
      <c r="JAJ16" s="16"/>
      <c r="JAY16" s="16"/>
      <c r="JBN16" s="16"/>
      <c r="JCC16" s="16"/>
      <c r="JCR16" s="16"/>
      <c r="JDG16" s="16"/>
      <c r="JDV16" s="16"/>
      <c r="JEK16" s="16"/>
      <c r="JEZ16" s="16"/>
      <c r="JFO16" s="16"/>
      <c r="JGD16" s="16"/>
      <c r="JGS16" s="16"/>
      <c r="JHH16" s="16"/>
      <c r="JHW16" s="16"/>
      <c r="JIL16" s="16"/>
      <c r="JJA16" s="16"/>
      <c r="JJP16" s="16"/>
      <c r="JKE16" s="16"/>
      <c r="JKT16" s="16"/>
      <c r="JLI16" s="16"/>
      <c r="JLX16" s="16"/>
      <c r="JMM16" s="16"/>
      <c r="JNB16" s="16"/>
      <c r="JNQ16" s="16"/>
      <c r="JOF16" s="16"/>
      <c r="JOU16" s="16"/>
      <c r="JPJ16" s="16"/>
      <c r="JPY16" s="16"/>
      <c r="JQN16" s="16"/>
      <c r="JRC16" s="16"/>
      <c r="JRR16" s="16"/>
      <c r="JSG16" s="16"/>
      <c r="JSV16" s="16"/>
      <c r="JTK16" s="16"/>
      <c r="JTZ16" s="16"/>
      <c r="JUO16" s="16"/>
      <c r="JVD16" s="16"/>
      <c r="JVS16" s="16"/>
      <c r="JWH16" s="16"/>
      <c r="JWW16" s="16"/>
      <c r="JXL16" s="16"/>
      <c r="JYA16" s="16"/>
      <c r="JYP16" s="16"/>
      <c r="JZE16" s="16"/>
      <c r="JZT16" s="16"/>
      <c r="KAI16" s="16"/>
      <c r="KAX16" s="16"/>
      <c r="KBM16" s="16"/>
      <c r="KCB16" s="16"/>
      <c r="KCQ16" s="16"/>
      <c r="KDF16" s="16"/>
      <c r="KDU16" s="16"/>
      <c r="KEJ16" s="16"/>
      <c r="KEY16" s="16"/>
      <c r="KFN16" s="16"/>
      <c r="KGC16" s="16"/>
      <c r="KGR16" s="16"/>
      <c r="KHG16" s="16"/>
      <c r="KHV16" s="16"/>
      <c r="KIK16" s="16"/>
      <c r="KIZ16" s="16"/>
      <c r="KJO16" s="16"/>
      <c r="KKD16" s="16"/>
      <c r="KKS16" s="16"/>
      <c r="KLH16" s="16"/>
      <c r="KLW16" s="16"/>
      <c r="KML16" s="16"/>
      <c r="KNA16" s="16"/>
      <c r="KNP16" s="16"/>
      <c r="KOE16" s="16"/>
      <c r="KOT16" s="16"/>
      <c r="KPI16" s="16"/>
      <c r="KPX16" s="16"/>
      <c r="KQM16" s="16"/>
      <c r="KRB16" s="16"/>
      <c r="KRQ16" s="16"/>
      <c r="KSF16" s="16"/>
      <c r="KSU16" s="16"/>
      <c r="KTJ16" s="16"/>
      <c r="KTY16" s="16"/>
      <c r="KUN16" s="16"/>
      <c r="KVC16" s="16"/>
      <c r="KVR16" s="16"/>
      <c r="KWG16" s="16"/>
      <c r="KWV16" s="16"/>
      <c r="KXK16" s="16"/>
      <c r="KXZ16" s="16"/>
      <c r="KYO16" s="16"/>
      <c r="KZD16" s="16"/>
      <c r="KZS16" s="16"/>
      <c r="LAH16" s="16"/>
      <c r="LAW16" s="16"/>
      <c r="LBL16" s="16"/>
      <c r="LCA16" s="16"/>
      <c r="LCP16" s="16"/>
      <c r="LDE16" s="16"/>
      <c r="LDT16" s="16"/>
      <c r="LEI16" s="16"/>
      <c r="LEX16" s="16"/>
      <c r="LFM16" s="16"/>
      <c r="LGB16" s="16"/>
      <c r="LGQ16" s="16"/>
      <c r="LHF16" s="16"/>
      <c r="LHU16" s="16"/>
      <c r="LIJ16" s="16"/>
      <c r="LIY16" s="16"/>
      <c r="LJN16" s="16"/>
      <c r="LKC16" s="16"/>
      <c r="LKR16" s="16"/>
      <c r="LLG16" s="16"/>
      <c r="LLV16" s="16"/>
      <c r="LMK16" s="16"/>
      <c r="LMZ16" s="16"/>
      <c r="LNO16" s="16"/>
      <c r="LOD16" s="16"/>
      <c r="LOS16" s="16"/>
      <c r="LPH16" s="16"/>
      <c r="LPW16" s="16"/>
      <c r="LQL16" s="16"/>
      <c r="LRA16" s="16"/>
      <c r="LRP16" s="16"/>
      <c r="LSE16" s="16"/>
      <c r="LST16" s="16"/>
      <c r="LTI16" s="16"/>
      <c r="LTX16" s="16"/>
      <c r="LUM16" s="16"/>
      <c r="LVB16" s="16"/>
      <c r="LVQ16" s="16"/>
      <c r="LWF16" s="16"/>
      <c r="LWU16" s="16"/>
      <c r="LXJ16" s="16"/>
      <c r="LXY16" s="16"/>
      <c r="LYN16" s="16"/>
      <c r="LZC16" s="16"/>
      <c r="LZR16" s="16"/>
      <c r="MAG16" s="16"/>
      <c r="MAV16" s="16"/>
      <c r="MBK16" s="16"/>
      <c r="MBZ16" s="16"/>
      <c r="MCO16" s="16"/>
      <c r="MDD16" s="16"/>
      <c r="MDS16" s="16"/>
      <c r="MEH16" s="16"/>
      <c r="MEW16" s="16"/>
      <c r="MFL16" s="16"/>
      <c r="MGA16" s="16"/>
      <c r="MGP16" s="16"/>
      <c r="MHE16" s="16"/>
      <c r="MHT16" s="16"/>
      <c r="MII16" s="16"/>
      <c r="MIX16" s="16"/>
      <c r="MJM16" s="16"/>
      <c r="MKB16" s="16"/>
      <c r="MKQ16" s="16"/>
      <c r="MLF16" s="16"/>
      <c r="MLU16" s="16"/>
      <c r="MMJ16" s="16"/>
      <c r="MMY16" s="16"/>
      <c r="MNN16" s="16"/>
      <c r="MOC16" s="16"/>
      <c r="MOR16" s="16"/>
      <c r="MPG16" s="16"/>
      <c r="MPV16" s="16"/>
      <c r="MQK16" s="16"/>
      <c r="MQZ16" s="16"/>
      <c r="MRO16" s="16"/>
      <c r="MSD16" s="16"/>
      <c r="MSS16" s="16"/>
      <c r="MTH16" s="16"/>
      <c r="MTW16" s="16"/>
      <c r="MUL16" s="16"/>
      <c r="MVA16" s="16"/>
      <c r="MVP16" s="16"/>
      <c r="MWE16" s="16"/>
      <c r="MWT16" s="16"/>
      <c r="MXI16" s="16"/>
      <c r="MXX16" s="16"/>
      <c r="MYM16" s="16"/>
      <c r="MZB16" s="16"/>
      <c r="MZQ16" s="16"/>
      <c r="NAF16" s="16"/>
      <c r="NAU16" s="16"/>
      <c r="NBJ16" s="16"/>
      <c r="NBY16" s="16"/>
      <c r="NCN16" s="16"/>
      <c r="NDC16" s="16"/>
      <c r="NDR16" s="16"/>
      <c r="NEG16" s="16"/>
      <c r="NEV16" s="16"/>
      <c r="NFK16" s="16"/>
      <c r="NFZ16" s="16"/>
      <c r="NGO16" s="16"/>
      <c r="NHD16" s="16"/>
      <c r="NHS16" s="16"/>
      <c r="NIH16" s="16"/>
      <c r="NIW16" s="16"/>
      <c r="NJL16" s="16"/>
      <c r="NKA16" s="16"/>
      <c r="NKP16" s="16"/>
      <c r="NLE16" s="16"/>
      <c r="NLT16" s="16"/>
      <c r="NMI16" s="16"/>
      <c r="NMX16" s="16"/>
      <c r="NNM16" s="16"/>
      <c r="NOB16" s="16"/>
      <c r="NOQ16" s="16"/>
      <c r="NPF16" s="16"/>
      <c r="NPU16" s="16"/>
      <c r="NQJ16" s="16"/>
      <c r="NQY16" s="16"/>
      <c r="NRN16" s="16"/>
      <c r="NSC16" s="16"/>
      <c r="NSR16" s="16"/>
      <c r="NTG16" s="16"/>
      <c r="NTV16" s="16"/>
      <c r="NUK16" s="16"/>
      <c r="NUZ16" s="16"/>
      <c r="NVO16" s="16"/>
      <c r="NWD16" s="16"/>
      <c r="NWS16" s="16"/>
      <c r="NXH16" s="16"/>
      <c r="NXW16" s="16"/>
      <c r="NYL16" s="16"/>
      <c r="NZA16" s="16"/>
      <c r="NZP16" s="16"/>
      <c r="OAE16" s="16"/>
      <c r="OAT16" s="16"/>
      <c r="OBI16" s="16"/>
      <c r="OBX16" s="16"/>
      <c r="OCM16" s="16"/>
      <c r="ODB16" s="16"/>
      <c r="ODQ16" s="16"/>
      <c r="OEF16" s="16"/>
      <c r="OEU16" s="16"/>
      <c r="OFJ16" s="16"/>
      <c r="OFY16" s="16"/>
      <c r="OGN16" s="16"/>
      <c r="OHC16" s="16"/>
      <c r="OHR16" s="16"/>
      <c r="OIG16" s="16"/>
      <c r="OIV16" s="16"/>
      <c r="OJK16" s="16"/>
      <c r="OJZ16" s="16"/>
      <c r="OKO16" s="16"/>
      <c r="OLD16" s="16"/>
      <c r="OLS16" s="16"/>
      <c r="OMH16" s="16"/>
      <c r="OMW16" s="16"/>
      <c r="ONL16" s="16"/>
      <c r="OOA16" s="16"/>
      <c r="OOP16" s="16"/>
      <c r="OPE16" s="16"/>
      <c r="OPT16" s="16"/>
      <c r="OQI16" s="16"/>
      <c r="OQX16" s="16"/>
      <c r="ORM16" s="16"/>
      <c r="OSB16" s="16"/>
      <c r="OSQ16" s="16"/>
      <c r="OTF16" s="16"/>
      <c r="OTU16" s="16"/>
      <c r="OUJ16" s="16"/>
      <c r="OUY16" s="16"/>
      <c r="OVN16" s="16"/>
      <c r="OWC16" s="16"/>
      <c r="OWR16" s="16"/>
      <c r="OXG16" s="16"/>
      <c r="OXV16" s="16"/>
      <c r="OYK16" s="16"/>
      <c r="OYZ16" s="16"/>
      <c r="OZO16" s="16"/>
      <c r="PAD16" s="16"/>
      <c r="PAS16" s="16"/>
      <c r="PBH16" s="16"/>
      <c r="PBW16" s="16"/>
      <c r="PCL16" s="16"/>
      <c r="PDA16" s="16"/>
      <c r="PDP16" s="16"/>
      <c r="PEE16" s="16"/>
      <c r="PET16" s="16"/>
      <c r="PFI16" s="16"/>
      <c r="PFX16" s="16"/>
      <c r="PGM16" s="16"/>
      <c r="PHB16" s="16"/>
      <c r="PHQ16" s="16"/>
      <c r="PIF16" s="16"/>
      <c r="PIU16" s="16"/>
      <c r="PJJ16" s="16"/>
      <c r="PJY16" s="16"/>
      <c r="PKN16" s="16"/>
      <c r="PLC16" s="16"/>
      <c r="PLR16" s="16"/>
      <c r="PMG16" s="16"/>
      <c r="PMV16" s="16"/>
      <c r="PNK16" s="16"/>
      <c r="PNZ16" s="16"/>
      <c r="POO16" s="16"/>
      <c r="PPD16" s="16"/>
      <c r="PPS16" s="16"/>
      <c r="PQH16" s="16"/>
      <c r="PQW16" s="16"/>
      <c r="PRL16" s="16"/>
      <c r="PSA16" s="16"/>
      <c r="PSP16" s="16"/>
      <c r="PTE16" s="16"/>
      <c r="PTT16" s="16"/>
      <c r="PUI16" s="16"/>
      <c r="PUX16" s="16"/>
      <c r="PVM16" s="16"/>
      <c r="PWB16" s="16"/>
      <c r="PWQ16" s="16"/>
      <c r="PXF16" s="16"/>
      <c r="PXU16" s="16"/>
      <c r="PYJ16" s="16"/>
      <c r="PYY16" s="16"/>
      <c r="PZN16" s="16"/>
      <c r="QAC16" s="16"/>
      <c r="QAR16" s="16"/>
      <c r="QBG16" s="16"/>
      <c r="QBV16" s="16"/>
      <c r="QCK16" s="16"/>
      <c r="QCZ16" s="16"/>
      <c r="QDO16" s="16"/>
      <c r="QED16" s="16"/>
      <c r="QES16" s="16"/>
      <c r="QFH16" s="16"/>
      <c r="QFW16" s="16"/>
      <c r="QGL16" s="16"/>
      <c r="QHA16" s="16"/>
      <c r="QHP16" s="16"/>
      <c r="QIE16" s="16"/>
      <c r="QIT16" s="16"/>
      <c r="QJI16" s="16"/>
      <c r="QJX16" s="16"/>
      <c r="QKM16" s="16"/>
      <c r="QLB16" s="16"/>
      <c r="QLQ16" s="16"/>
      <c r="QMF16" s="16"/>
      <c r="QMU16" s="16"/>
      <c r="QNJ16" s="16"/>
      <c r="QNY16" s="16"/>
      <c r="QON16" s="16"/>
      <c r="QPC16" s="16"/>
      <c r="QPR16" s="16"/>
      <c r="QQG16" s="16"/>
      <c r="QQV16" s="16"/>
      <c r="QRK16" s="16"/>
      <c r="QRZ16" s="16"/>
      <c r="QSO16" s="16"/>
      <c r="QTD16" s="16"/>
      <c r="QTS16" s="16"/>
      <c r="QUH16" s="16"/>
      <c r="QUW16" s="16"/>
      <c r="QVL16" s="16"/>
      <c r="QWA16" s="16"/>
      <c r="QWP16" s="16"/>
      <c r="QXE16" s="16"/>
      <c r="QXT16" s="16"/>
      <c r="QYI16" s="16"/>
      <c r="QYX16" s="16"/>
      <c r="QZM16" s="16"/>
      <c r="RAB16" s="16"/>
      <c r="RAQ16" s="16"/>
      <c r="RBF16" s="16"/>
      <c r="RBU16" s="16"/>
      <c r="RCJ16" s="16"/>
      <c r="RCY16" s="16"/>
      <c r="RDN16" s="16"/>
      <c r="REC16" s="16"/>
      <c r="RER16" s="16"/>
      <c r="RFG16" s="16"/>
      <c r="RFV16" s="16"/>
      <c r="RGK16" s="16"/>
      <c r="RGZ16" s="16"/>
      <c r="RHO16" s="16"/>
      <c r="RID16" s="16"/>
      <c r="RIS16" s="16"/>
      <c r="RJH16" s="16"/>
      <c r="RJW16" s="16"/>
      <c r="RKL16" s="16"/>
      <c r="RLA16" s="16"/>
      <c r="RLP16" s="16"/>
      <c r="RME16" s="16"/>
      <c r="RMT16" s="16"/>
      <c r="RNI16" s="16"/>
      <c r="RNX16" s="16"/>
      <c r="ROM16" s="16"/>
      <c r="RPB16" s="16"/>
      <c r="RPQ16" s="16"/>
      <c r="RQF16" s="16"/>
      <c r="RQU16" s="16"/>
      <c r="RRJ16" s="16"/>
      <c r="RRY16" s="16"/>
      <c r="RSN16" s="16"/>
      <c r="RTC16" s="16"/>
      <c r="RTR16" s="16"/>
      <c r="RUG16" s="16"/>
      <c r="RUV16" s="16"/>
      <c r="RVK16" s="16"/>
      <c r="RVZ16" s="16"/>
      <c r="RWO16" s="16"/>
      <c r="RXD16" s="16"/>
      <c r="RXS16" s="16"/>
      <c r="RYH16" s="16"/>
      <c r="RYW16" s="16"/>
      <c r="RZL16" s="16"/>
      <c r="SAA16" s="16"/>
      <c r="SAP16" s="16"/>
      <c r="SBE16" s="16"/>
      <c r="SBT16" s="16"/>
      <c r="SCI16" s="16"/>
      <c r="SCX16" s="16"/>
      <c r="SDM16" s="16"/>
      <c r="SEB16" s="16"/>
      <c r="SEQ16" s="16"/>
      <c r="SFF16" s="16"/>
      <c r="SFU16" s="16"/>
      <c r="SGJ16" s="16"/>
      <c r="SGY16" s="16"/>
      <c r="SHN16" s="16"/>
      <c r="SIC16" s="16"/>
      <c r="SIR16" s="16"/>
      <c r="SJG16" s="16"/>
      <c r="SJV16" s="16"/>
      <c r="SKK16" s="16"/>
      <c r="SKZ16" s="16"/>
      <c r="SLO16" s="16"/>
      <c r="SMD16" s="16"/>
      <c r="SMS16" s="16"/>
      <c r="SNH16" s="16"/>
      <c r="SNW16" s="16"/>
      <c r="SOL16" s="16"/>
      <c r="SPA16" s="16"/>
      <c r="SPP16" s="16"/>
      <c r="SQE16" s="16"/>
      <c r="SQT16" s="16"/>
      <c r="SRI16" s="16"/>
      <c r="SRX16" s="16"/>
      <c r="SSM16" s="16"/>
      <c r="STB16" s="16"/>
      <c r="STQ16" s="16"/>
      <c r="SUF16" s="16"/>
      <c r="SUU16" s="16"/>
      <c r="SVJ16" s="16"/>
      <c r="SVY16" s="16"/>
      <c r="SWN16" s="16"/>
      <c r="SXC16" s="16"/>
      <c r="SXR16" s="16"/>
      <c r="SYG16" s="16"/>
      <c r="SYV16" s="16"/>
      <c r="SZK16" s="16"/>
      <c r="SZZ16" s="16"/>
      <c r="TAO16" s="16"/>
      <c r="TBD16" s="16"/>
      <c r="TBS16" s="16"/>
      <c r="TCH16" s="16"/>
      <c r="TCW16" s="16"/>
      <c r="TDL16" s="16"/>
      <c r="TEA16" s="16"/>
      <c r="TEP16" s="16"/>
      <c r="TFE16" s="16"/>
      <c r="TFT16" s="16"/>
      <c r="TGI16" s="16"/>
      <c r="TGX16" s="16"/>
      <c r="THM16" s="16"/>
      <c r="TIB16" s="16"/>
      <c r="TIQ16" s="16"/>
      <c r="TJF16" s="16"/>
      <c r="TJU16" s="16"/>
      <c r="TKJ16" s="16"/>
      <c r="TKY16" s="16"/>
      <c r="TLN16" s="16"/>
      <c r="TMC16" s="16"/>
      <c r="TMR16" s="16"/>
      <c r="TNG16" s="16"/>
      <c r="TNV16" s="16"/>
      <c r="TOK16" s="16"/>
      <c r="TOZ16" s="16"/>
      <c r="TPO16" s="16"/>
      <c r="TQD16" s="16"/>
      <c r="TQS16" s="16"/>
      <c r="TRH16" s="16"/>
      <c r="TRW16" s="16"/>
      <c r="TSL16" s="16"/>
      <c r="TTA16" s="16"/>
      <c r="TTP16" s="16"/>
      <c r="TUE16" s="16"/>
      <c r="TUT16" s="16"/>
      <c r="TVI16" s="16"/>
      <c r="TVX16" s="16"/>
      <c r="TWM16" s="16"/>
      <c r="TXB16" s="16"/>
      <c r="TXQ16" s="16"/>
      <c r="TYF16" s="16"/>
      <c r="TYU16" s="16"/>
      <c r="TZJ16" s="16"/>
      <c r="TZY16" s="16"/>
      <c r="UAN16" s="16"/>
      <c r="UBC16" s="16"/>
      <c r="UBR16" s="16"/>
      <c r="UCG16" s="16"/>
      <c r="UCV16" s="16"/>
      <c r="UDK16" s="16"/>
      <c r="UDZ16" s="16"/>
      <c r="UEO16" s="16"/>
      <c r="UFD16" s="16"/>
      <c r="UFS16" s="16"/>
      <c r="UGH16" s="16"/>
      <c r="UGW16" s="16"/>
      <c r="UHL16" s="16"/>
      <c r="UIA16" s="16"/>
      <c r="UIP16" s="16"/>
      <c r="UJE16" s="16"/>
      <c r="UJT16" s="16"/>
      <c r="UKI16" s="16"/>
      <c r="UKX16" s="16"/>
      <c r="ULM16" s="16"/>
      <c r="UMB16" s="16"/>
      <c r="UMQ16" s="16"/>
      <c r="UNF16" s="16"/>
      <c r="UNU16" s="16"/>
      <c r="UOJ16" s="16"/>
      <c r="UOY16" s="16"/>
      <c r="UPN16" s="16"/>
      <c r="UQC16" s="16"/>
      <c r="UQR16" s="16"/>
      <c r="URG16" s="16"/>
      <c r="URV16" s="16"/>
      <c r="USK16" s="16"/>
      <c r="USZ16" s="16"/>
      <c r="UTO16" s="16"/>
      <c r="UUD16" s="16"/>
      <c r="UUS16" s="16"/>
      <c r="UVH16" s="16"/>
      <c r="UVW16" s="16"/>
      <c r="UWL16" s="16"/>
      <c r="UXA16" s="16"/>
      <c r="UXP16" s="16"/>
      <c r="UYE16" s="16"/>
      <c r="UYT16" s="16"/>
      <c r="UZI16" s="16"/>
      <c r="UZX16" s="16"/>
      <c r="VAM16" s="16"/>
      <c r="VBB16" s="16"/>
      <c r="VBQ16" s="16"/>
      <c r="VCF16" s="16"/>
      <c r="VCU16" s="16"/>
      <c r="VDJ16" s="16"/>
      <c r="VDY16" s="16"/>
      <c r="VEN16" s="16"/>
      <c r="VFC16" s="16"/>
      <c r="VFR16" s="16"/>
      <c r="VGG16" s="16"/>
      <c r="VGV16" s="16"/>
      <c r="VHK16" s="16"/>
      <c r="VHZ16" s="16"/>
      <c r="VIO16" s="16"/>
      <c r="VJD16" s="16"/>
      <c r="VJS16" s="16"/>
      <c r="VKH16" s="16"/>
      <c r="VKW16" s="16"/>
      <c r="VLL16" s="16"/>
      <c r="VMA16" s="16"/>
      <c r="VMP16" s="16"/>
      <c r="VNE16" s="16"/>
      <c r="VNT16" s="16"/>
      <c r="VOI16" s="16"/>
      <c r="VOX16" s="16"/>
      <c r="VPM16" s="16"/>
      <c r="VQB16" s="16"/>
      <c r="VQQ16" s="16"/>
      <c r="VRF16" s="16"/>
      <c r="VRU16" s="16"/>
      <c r="VSJ16" s="16"/>
      <c r="VSY16" s="16"/>
      <c r="VTN16" s="16"/>
      <c r="VUC16" s="16"/>
      <c r="VUR16" s="16"/>
      <c r="VVG16" s="16"/>
      <c r="VVV16" s="16"/>
      <c r="VWK16" s="16"/>
      <c r="VWZ16" s="16"/>
      <c r="VXO16" s="16"/>
      <c r="VYD16" s="16"/>
      <c r="VYS16" s="16"/>
      <c r="VZH16" s="16"/>
      <c r="VZW16" s="16"/>
      <c r="WAL16" s="16"/>
      <c r="WBA16" s="16"/>
      <c r="WBP16" s="16"/>
      <c r="WCE16" s="16"/>
      <c r="WCT16" s="16"/>
      <c r="WDI16" s="16"/>
      <c r="WDX16" s="16"/>
      <c r="WEM16" s="16"/>
      <c r="WFB16" s="16"/>
      <c r="WFQ16" s="16"/>
      <c r="WGF16" s="16"/>
      <c r="WGU16" s="16"/>
      <c r="WHJ16" s="16"/>
      <c r="WHY16" s="16"/>
      <c r="WIN16" s="16"/>
      <c r="WJC16" s="16"/>
      <c r="WJR16" s="16"/>
      <c r="WKG16" s="16"/>
      <c r="WKV16" s="16"/>
      <c r="WLK16" s="16"/>
      <c r="WLZ16" s="16"/>
      <c r="WMO16" s="16"/>
      <c r="WND16" s="16"/>
      <c r="WNS16" s="16"/>
      <c r="WOH16" s="16"/>
      <c r="WOW16" s="16"/>
      <c r="WPL16" s="16"/>
      <c r="WQA16" s="16"/>
      <c r="WQP16" s="16"/>
      <c r="WRE16" s="16"/>
      <c r="WRT16" s="16"/>
      <c r="WSI16" s="16"/>
      <c r="WSX16" s="16"/>
      <c r="WTM16" s="16"/>
      <c r="WUB16" s="16"/>
      <c r="WUQ16" s="16"/>
      <c r="WVF16" s="16"/>
      <c r="WVU16" s="16"/>
      <c r="WWJ16" s="16"/>
      <c r="WWY16" s="16"/>
      <c r="WXN16" s="16"/>
      <c r="WYC16" s="16"/>
      <c r="WYR16" s="16"/>
      <c r="WZG16" s="16"/>
      <c r="WZV16" s="16"/>
      <c r="XAK16" s="16"/>
      <c r="XAZ16" s="16"/>
      <c r="XBO16" s="16"/>
      <c r="XCD16" s="16"/>
      <c r="XCS16" s="16"/>
      <c r="XDH16" s="16"/>
      <c r="XDW16" s="16"/>
      <c r="XEL16" s="16"/>
      <c r="XFA16" s="16"/>
    </row>
    <row r="17" spans="1:1021 1036:2041 2056:3061 3076:4096 4111:5116 5131:6136 6151:7156 7171:8191 8206:9211 9226:10231 10246:11251 11266:12286 12301:13306 13321:14326 14341:15346 15361:16381" x14ac:dyDescent="0.3">
      <c r="A17" s="16">
        <v>41818</v>
      </c>
      <c r="B17" s="16">
        <v>41821</v>
      </c>
      <c r="C17" t="str">
        <v>Jim Mitchum</v>
      </c>
      <c r="D17" t="str">
        <v>Sydney</v>
      </c>
      <c r="E17" t="str">
        <v>New South Wales</v>
      </c>
      <c r="F17" t="str">
        <v>Australia</v>
      </c>
      <c r="G17" t="str">
        <v>Oceania</v>
      </c>
      <c r="H17" t="str">
        <v>Asia Pacific</v>
      </c>
      <c r="I17" t="str">
        <v>Technology</v>
      </c>
      <c r="J17" t="str">
        <v>Corporate</v>
      </c>
      <c r="K17" t="str">
        <v>Phones</v>
      </c>
      <c r="L17">
        <v>2862.6750000000002</v>
      </c>
      <c r="M17">
        <v>5</v>
      </c>
      <c r="N17">
        <v>0.1</v>
      </c>
      <c r="O17">
        <v>763.27500000000009</v>
      </c>
      <c r="P17" s="16"/>
      <c r="AE17" s="16"/>
      <c r="AT17" s="16"/>
      <c r="BI17" s="16"/>
      <c r="BX17" s="16"/>
      <c r="CM17" s="16"/>
      <c r="DB17" s="16"/>
      <c r="DQ17" s="16"/>
      <c r="EF17" s="16"/>
      <c r="EU17" s="16"/>
      <c r="FJ17" s="16"/>
      <c r="FY17" s="16"/>
      <c r="GN17" s="16"/>
      <c r="HC17" s="16"/>
      <c r="HR17" s="16"/>
      <c r="IG17" s="16"/>
      <c r="IV17" s="16"/>
      <c r="JK17" s="16"/>
      <c r="JZ17" s="16"/>
      <c r="KO17" s="16"/>
      <c r="LD17" s="16"/>
      <c r="LS17" s="16"/>
      <c r="MH17" s="16"/>
      <c r="MW17" s="16"/>
      <c r="NL17" s="16"/>
      <c r="OA17" s="16"/>
      <c r="OP17" s="16"/>
      <c r="PE17" s="16"/>
      <c r="PT17" s="16"/>
      <c r="QI17" s="16"/>
      <c r="QX17" s="16"/>
      <c r="RM17" s="16"/>
      <c r="SB17" s="16"/>
      <c r="SQ17" s="16"/>
      <c r="TF17" s="16"/>
      <c r="TU17" s="16"/>
      <c r="UJ17" s="16"/>
      <c r="UY17" s="16"/>
      <c r="VN17" s="16"/>
      <c r="WC17" s="16"/>
      <c r="WR17" s="16"/>
      <c r="XG17" s="16"/>
      <c r="XV17" s="16"/>
      <c r="YK17" s="16"/>
      <c r="YZ17" s="16"/>
      <c r="ZO17" s="16"/>
      <c r="AAD17" s="16"/>
      <c r="AAS17" s="16"/>
      <c r="ABH17" s="16"/>
      <c r="ABW17" s="16"/>
      <c r="ACL17" s="16"/>
      <c r="ADA17" s="16"/>
      <c r="ADP17" s="16"/>
      <c r="AEE17" s="16"/>
      <c r="AET17" s="16"/>
      <c r="AFI17" s="16"/>
      <c r="AFX17" s="16"/>
      <c r="AGM17" s="16"/>
      <c r="AHB17" s="16"/>
      <c r="AHQ17" s="16"/>
      <c r="AIF17" s="16"/>
      <c r="AIU17" s="16"/>
      <c r="AJJ17" s="16"/>
      <c r="AJY17" s="16"/>
      <c r="AKN17" s="16"/>
      <c r="ALC17" s="16"/>
      <c r="ALR17" s="16"/>
      <c r="AMG17" s="16"/>
      <c r="AMV17" s="16"/>
      <c r="ANK17" s="16"/>
      <c r="ANZ17" s="16"/>
      <c r="AOO17" s="16"/>
      <c r="APD17" s="16"/>
      <c r="APS17" s="16"/>
      <c r="AQH17" s="16"/>
      <c r="AQW17" s="16"/>
      <c r="ARL17" s="16"/>
      <c r="ASA17" s="16"/>
      <c r="ASP17" s="16"/>
      <c r="ATE17" s="16"/>
      <c r="ATT17" s="16"/>
      <c r="AUI17" s="16"/>
      <c r="AUX17" s="16"/>
      <c r="AVM17" s="16"/>
      <c r="AWB17" s="16"/>
      <c r="AWQ17" s="16"/>
      <c r="AXF17" s="16"/>
      <c r="AXU17" s="16"/>
      <c r="AYJ17" s="16"/>
      <c r="AYY17" s="16"/>
      <c r="AZN17" s="16"/>
      <c r="BAC17" s="16"/>
      <c r="BAR17" s="16"/>
      <c r="BBG17" s="16"/>
      <c r="BBV17" s="16"/>
      <c r="BCK17" s="16"/>
      <c r="BCZ17" s="16"/>
      <c r="BDO17" s="16"/>
      <c r="BED17" s="16"/>
      <c r="BES17" s="16"/>
      <c r="BFH17" s="16"/>
      <c r="BFW17" s="16"/>
      <c r="BGL17" s="16"/>
      <c r="BHA17" s="16"/>
      <c r="BHP17" s="16"/>
      <c r="BIE17" s="16"/>
      <c r="BIT17" s="16"/>
      <c r="BJI17" s="16"/>
      <c r="BJX17" s="16"/>
      <c r="BKM17" s="16"/>
      <c r="BLB17" s="16"/>
      <c r="BLQ17" s="16"/>
      <c r="BMF17" s="16"/>
      <c r="BMU17" s="16"/>
      <c r="BNJ17" s="16"/>
      <c r="BNY17" s="16"/>
      <c r="BON17" s="16"/>
      <c r="BPC17" s="16"/>
      <c r="BPR17" s="16"/>
      <c r="BQG17" s="16"/>
      <c r="BQV17" s="16"/>
      <c r="BRK17" s="16"/>
      <c r="BRZ17" s="16"/>
      <c r="BSO17" s="16"/>
      <c r="BTD17" s="16"/>
      <c r="BTS17" s="16"/>
      <c r="BUH17" s="16"/>
      <c r="BUW17" s="16"/>
      <c r="BVL17" s="16"/>
      <c r="BWA17" s="16"/>
      <c r="BWP17" s="16"/>
      <c r="BXE17" s="16"/>
      <c r="BXT17" s="16"/>
      <c r="BYI17" s="16"/>
      <c r="BYX17" s="16"/>
      <c r="BZM17" s="16"/>
      <c r="CAB17" s="16"/>
      <c r="CAQ17" s="16"/>
      <c r="CBF17" s="16"/>
      <c r="CBU17" s="16"/>
      <c r="CCJ17" s="16"/>
      <c r="CCY17" s="16"/>
      <c r="CDN17" s="16"/>
      <c r="CEC17" s="16"/>
      <c r="CER17" s="16"/>
      <c r="CFG17" s="16"/>
      <c r="CFV17" s="16"/>
      <c r="CGK17" s="16"/>
      <c r="CGZ17" s="16"/>
      <c r="CHO17" s="16"/>
      <c r="CID17" s="16"/>
      <c r="CIS17" s="16"/>
      <c r="CJH17" s="16"/>
      <c r="CJW17" s="16"/>
      <c r="CKL17" s="16"/>
      <c r="CLA17" s="16"/>
      <c r="CLP17" s="16"/>
      <c r="CME17" s="16"/>
      <c r="CMT17" s="16"/>
      <c r="CNI17" s="16"/>
      <c r="CNX17" s="16"/>
      <c r="COM17" s="16"/>
      <c r="CPB17" s="16"/>
      <c r="CPQ17" s="16"/>
      <c r="CQF17" s="16"/>
      <c r="CQU17" s="16"/>
      <c r="CRJ17" s="16"/>
      <c r="CRY17" s="16"/>
      <c r="CSN17" s="16"/>
      <c r="CTC17" s="16"/>
      <c r="CTR17" s="16"/>
      <c r="CUG17" s="16"/>
      <c r="CUV17" s="16"/>
      <c r="CVK17" s="16"/>
      <c r="CVZ17" s="16"/>
      <c r="CWO17" s="16"/>
      <c r="CXD17" s="16"/>
      <c r="CXS17" s="16"/>
      <c r="CYH17" s="16"/>
      <c r="CYW17" s="16"/>
      <c r="CZL17" s="16"/>
      <c r="DAA17" s="16"/>
      <c r="DAP17" s="16"/>
      <c r="DBE17" s="16"/>
      <c r="DBT17" s="16"/>
      <c r="DCI17" s="16"/>
      <c r="DCX17" s="16"/>
      <c r="DDM17" s="16"/>
      <c r="DEB17" s="16"/>
      <c r="DEQ17" s="16"/>
      <c r="DFF17" s="16"/>
      <c r="DFU17" s="16"/>
      <c r="DGJ17" s="16"/>
      <c r="DGY17" s="16"/>
      <c r="DHN17" s="16"/>
      <c r="DIC17" s="16"/>
      <c r="DIR17" s="16"/>
      <c r="DJG17" s="16"/>
      <c r="DJV17" s="16"/>
      <c r="DKK17" s="16"/>
      <c r="DKZ17" s="16"/>
      <c r="DLO17" s="16"/>
      <c r="DMD17" s="16"/>
      <c r="DMS17" s="16"/>
      <c r="DNH17" s="16"/>
      <c r="DNW17" s="16"/>
      <c r="DOL17" s="16"/>
      <c r="DPA17" s="16"/>
      <c r="DPP17" s="16"/>
      <c r="DQE17" s="16"/>
      <c r="DQT17" s="16"/>
      <c r="DRI17" s="16"/>
      <c r="DRX17" s="16"/>
      <c r="DSM17" s="16"/>
      <c r="DTB17" s="16"/>
      <c r="DTQ17" s="16"/>
      <c r="DUF17" s="16"/>
      <c r="DUU17" s="16"/>
      <c r="DVJ17" s="16"/>
      <c r="DVY17" s="16"/>
      <c r="DWN17" s="16"/>
      <c r="DXC17" s="16"/>
      <c r="DXR17" s="16"/>
      <c r="DYG17" s="16"/>
      <c r="DYV17" s="16"/>
      <c r="DZK17" s="16"/>
      <c r="DZZ17" s="16"/>
      <c r="EAO17" s="16"/>
      <c r="EBD17" s="16"/>
      <c r="EBS17" s="16"/>
      <c r="ECH17" s="16"/>
      <c r="ECW17" s="16"/>
      <c r="EDL17" s="16"/>
      <c r="EEA17" s="16"/>
      <c r="EEP17" s="16"/>
      <c r="EFE17" s="16"/>
      <c r="EFT17" s="16"/>
      <c r="EGI17" s="16"/>
      <c r="EGX17" s="16"/>
      <c r="EHM17" s="16"/>
      <c r="EIB17" s="16"/>
      <c r="EIQ17" s="16"/>
      <c r="EJF17" s="16"/>
      <c r="EJU17" s="16"/>
      <c r="EKJ17" s="16"/>
      <c r="EKY17" s="16"/>
      <c r="ELN17" s="16"/>
      <c r="EMC17" s="16"/>
      <c r="EMR17" s="16"/>
      <c r="ENG17" s="16"/>
      <c r="ENV17" s="16"/>
      <c r="EOK17" s="16"/>
      <c r="EOZ17" s="16"/>
      <c r="EPO17" s="16"/>
      <c r="EQD17" s="16"/>
      <c r="EQS17" s="16"/>
      <c r="ERH17" s="16"/>
      <c r="ERW17" s="16"/>
      <c r="ESL17" s="16"/>
      <c r="ETA17" s="16"/>
      <c r="ETP17" s="16"/>
      <c r="EUE17" s="16"/>
      <c r="EUT17" s="16"/>
      <c r="EVI17" s="16"/>
      <c r="EVX17" s="16"/>
      <c r="EWM17" s="16"/>
      <c r="EXB17" s="16"/>
      <c r="EXQ17" s="16"/>
      <c r="EYF17" s="16"/>
      <c r="EYU17" s="16"/>
      <c r="EZJ17" s="16"/>
      <c r="EZY17" s="16"/>
      <c r="FAN17" s="16"/>
      <c r="FBC17" s="16"/>
      <c r="FBR17" s="16"/>
      <c r="FCG17" s="16"/>
      <c r="FCV17" s="16"/>
      <c r="FDK17" s="16"/>
      <c r="FDZ17" s="16"/>
      <c r="FEO17" s="16"/>
      <c r="FFD17" s="16"/>
      <c r="FFS17" s="16"/>
      <c r="FGH17" s="16"/>
      <c r="FGW17" s="16"/>
      <c r="FHL17" s="16"/>
      <c r="FIA17" s="16"/>
      <c r="FIP17" s="16"/>
      <c r="FJE17" s="16"/>
      <c r="FJT17" s="16"/>
      <c r="FKI17" s="16"/>
      <c r="FKX17" s="16"/>
      <c r="FLM17" s="16"/>
      <c r="FMB17" s="16"/>
      <c r="FMQ17" s="16"/>
      <c r="FNF17" s="16"/>
      <c r="FNU17" s="16"/>
      <c r="FOJ17" s="16"/>
      <c r="FOY17" s="16"/>
      <c r="FPN17" s="16"/>
      <c r="FQC17" s="16"/>
      <c r="FQR17" s="16"/>
      <c r="FRG17" s="16"/>
      <c r="FRV17" s="16"/>
      <c r="FSK17" s="16"/>
      <c r="FSZ17" s="16"/>
      <c r="FTO17" s="16"/>
      <c r="FUD17" s="16"/>
      <c r="FUS17" s="16"/>
      <c r="FVH17" s="16"/>
      <c r="FVW17" s="16"/>
      <c r="FWL17" s="16"/>
      <c r="FXA17" s="16"/>
      <c r="FXP17" s="16"/>
      <c r="FYE17" s="16"/>
      <c r="FYT17" s="16"/>
      <c r="FZI17" s="16"/>
      <c r="FZX17" s="16"/>
      <c r="GAM17" s="16"/>
      <c r="GBB17" s="16"/>
      <c r="GBQ17" s="16"/>
      <c r="GCF17" s="16"/>
      <c r="GCU17" s="16"/>
      <c r="GDJ17" s="16"/>
      <c r="GDY17" s="16"/>
      <c r="GEN17" s="16"/>
      <c r="GFC17" s="16"/>
      <c r="GFR17" s="16"/>
      <c r="GGG17" s="16"/>
      <c r="GGV17" s="16"/>
      <c r="GHK17" s="16"/>
      <c r="GHZ17" s="16"/>
      <c r="GIO17" s="16"/>
      <c r="GJD17" s="16"/>
      <c r="GJS17" s="16"/>
      <c r="GKH17" s="16"/>
      <c r="GKW17" s="16"/>
      <c r="GLL17" s="16"/>
      <c r="GMA17" s="16"/>
      <c r="GMP17" s="16"/>
      <c r="GNE17" s="16"/>
      <c r="GNT17" s="16"/>
      <c r="GOI17" s="16"/>
      <c r="GOX17" s="16"/>
      <c r="GPM17" s="16"/>
      <c r="GQB17" s="16"/>
      <c r="GQQ17" s="16"/>
      <c r="GRF17" s="16"/>
      <c r="GRU17" s="16"/>
      <c r="GSJ17" s="16"/>
      <c r="GSY17" s="16"/>
      <c r="GTN17" s="16"/>
      <c r="GUC17" s="16"/>
      <c r="GUR17" s="16"/>
      <c r="GVG17" s="16"/>
      <c r="GVV17" s="16"/>
      <c r="GWK17" s="16"/>
      <c r="GWZ17" s="16"/>
      <c r="GXO17" s="16"/>
      <c r="GYD17" s="16"/>
      <c r="GYS17" s="16"/>
      <c r="GZH17" s="16"/>
      <c r="GZW17" s="16"/>
      <c r="HAL17" s="16"/>
      <c r="HBA17" s="16"/>
      <c r="HBP17" s="16"/>
      <c r="HCE17" s="16"/>
      <c r="HCT17" s="16"/>
      <c r="HDI17" s="16"/>
      <c r="HDX17" s="16"/>
      <c r="HEM17" s="16"/>
      <c r="HFB17" s="16"/>
      <c r="HFQ17" s="16"/>
      <c r="HGF17" s="16"/>
      <c r="HGU17" s="16"/>
      <c r="HHJ17" s="16"/>
      <c r="HHY17" s="16"/>
      <c r="HIN17" s="16"/>
      <c r="HJC17" s="16"/>
      <c r="HJR17" s="16"/>
      <c r="HKG17" s="16"/>
      <c r="HKV17" s="16"/>
      <c r="HLK17" s="16"/>
      <c r="HLZ17" s="16"/>
      <c r="HMO17" s="16"/>
      <c r="HND17" s="16"/>
      <c r="HNS17" s="16"/>
      <c r="HOH17" s="16"/>
      <c r="HOW17" s="16"/>
      <c r="HPL17" s="16"/>
      <c r="HQA17" s="16"/>
      <c r="HQP17" s="16"/>
      <c r="HRE17" s="16"/>
      <c r="HRT17" s="16"/>
      <c r="HSI17" s="16"/>
      <c r="HSX17" s="16"/>
      <c r="HTM17" s="16"/>
      <c r="HUB17" s="16"/>
      <c r="HUQ17" s="16"/>
      <c r="HVF17" s="16"/>
      <c r="HVU17" s="16"/>
      <c r="HWJ17" s="16"/>
      <c r="HWY17" s="16"/>
      <c r="HXN17" s="16"/>
      <c r="HYC17" s="16"/>
      <c r="HYR17" s="16"/>
      <c r="HZG17" s="16"/>
      <c r="HZV17" s="16"/>
      <c r="IAK17" s="16"/>
      <c r="IAZ17" s="16"/>
      <c r="IBO17" s="16"/>
      <c r="ICD17" s="16"/>
      <c r="ICS17" s="16"/>
      <c r="IDH17" s="16"/>
      <c r="IDW17" s="16"/>
      <c r="IEL17" s="16"/>
      <c r="IFA17" s="16"/>
      <c r="IFP17" s="16"/>
      <c r="IGE17" s="16"/>
      <c r="IGT17" s="16"/>
      <c r="IHI17" s="16"/>
      <c r="IHX17" s="16"/>
      <c r="IIM17" s="16"/>
      <c r="IJB17" s="16"/>
      <c r="IJQ17" s="16"/>
      <c r="IKF17" s="16"/>
      <c r="IKU17" s="16"/>
      <c r="ILJ17" s="16"/>
      <c r="ILY17" s="16"/>
      <c r="IMN17" s="16"/>
      <c r="INC17" s="16"/>
      <c r="INR17" s="16"/>
      <c r="IOG17" s="16"/>
      <c r="IOV17" s="16"/>
      <c r="IPK17" s="16"/>
      <c r="IPZ17" s="16"/>
      <c r="IQO17" s="16"/>
      <c r="IRD17" s="16"/>
      <c r="IRS17" s="16"/>
      <c r="ISH17" s="16"/>
      <c r="ISW17" s="16"/>
      <c r="ITL17" s="16"/>
      <c r="IUA17" s="16"/>
      <c r="IUP17" s="16"/>
      <c r="IVE17" s="16"/>
      <c r="IVT17" s="16"/>
      <c r="IWI17" s="16"/>
      <c r="IWX17" s="16"/>
      <c r="IXM17" s="16"/>
      <c r="IYB17" s="16"/>
      <c r="IYQ17" s="16"/>
      <c r="IZF17" s="16"/>
      <c r="IZU17" s="16"/>
      <c r="JAJ17" s="16"/>
      <c r="JAY17" s="16"/>
      <c r="JBN17" s="16"/>
      <c r="JCC17" s="16"/>
      <c r="JCR17" s="16"/>
      <c r="JDG17" s="16"/>
      <c r="JDV17" s="16"/>
      <c r="JEK17" s="16"/>
      <c r="JEZ17" s="16"/>
      <c r="JFO17" s="16"/>
      <c r="JGD17" s="16"/>
      <c r="JGS17" s="16"/>
      <c r="JHH17" s="16"/>
      <c r="JHW17" s="16"/>
      <c r="JIL17" s="16"/>
      <c r="JJA17" s="16"/>
      <c r="JJP17" s="16"/>
      <c r="JKE17" s="16"/>
      <c r="JKT17" s="16"/>
      <c r="JLI17" s="16"/>
      <c r="JLX17" s="16"/>
      <c r="JMM17" s="16"/>
      <c r="JNB17" s="16"/>
      <c r="JNQ17" s="16"/>
      <c r="JOF17" s="16"/>
      <c r="JOU17" s="16"/>
      <c r="JPJ17" s="16"/>
      <c r="JPY17" s="16"/>
      <c r="JQN17" s="16"/>
      <c r="JRC17" s="16"/>
      <c r="JRR17" s="16"/>
      <c r="JSG17" s="16"/>
      <c r="JSV17" s="16"/>
      <c r="JTK17" s="16"/>
      <c r="JTZ17" s="16"/>
      <c r="JUO17" s="16"/>
      <c r="JVD17" s="16"/>
      <c r="JVS17" s="16"/>
      <c r="JWH17" s="16"/>
      <c r="JWW17" s="16"/>
      <c r="JXL17" s="16"/>
      <c r="JYA17" s="16"/>
      <c r="JYP17" s="16"/>
      <c r="JZE17" s="16"/>
      <c r="JZT17" s="16"/>
      <c r="KAI17" s="16"/>
      <c r="KAX17" s="16"/>
      <c r="KBM17" s="16"/>
      <c r="KCB17" s="16"/>
      <c r="KCQ17" s="16"/>
      <c r="KDF17" s="16"/>
      <c r="KDU17" s="16"/>
      <c r="KEJ17" s="16"/>
      <c r="KEY17" s="16"/>
      <c r="KFN17" s="16"/>
      <c r="KGC17" s="16"/>
      <c r="KGR17" s="16"/>
      <c r="KHG17" s="16"/>
      <c r="KHV17" s="16"/>
      <c r="KIK17" s="16"/>
      <c r="KIZ17" s="16"/>
      <c r="KJO17" s="16"/>
      <c r="KKD17" s="16"/>
      <c r="KKS17" s="16"/>
      <c r="KLH17" s="16"/>
      <c r="KLW17" s="16"/>
      <c r="KML17" s="16"/>
      <c r="KNA17" s="16"/>
      <c r="KNP17" s="16"/>
      <c r="KOE17" s="16"/>
      <c r="KOT17" s="16"/>
      <c r="KPI17" s="16"/>
      <c r="KPX17" s="16"/>
      <c r="KQM17" s="16"/>
      <c r="KRB17" s="16"/>
      <c r="KRQ17" s="16"/>
      <c r="KSF17" s="16"/>
      <c r="KSU17" s="16"/>
      <c r="KTJ17" s="16"/>
      <c r="KTY17" s="16"/>
      <c r="KUN17" s="16"/>
      <c r="KVC17" s="16"/>
      <c r="KVR17" s="16"/>
      <c r="KWG17" s="16"/>
      <c r="KWV17" s="16"/>
      <c r="KXK17" s="16"/>
      <c r="KXZ17" s="16"/>
      <c r="KYO17" s="16"/>
      <c r="KZD17" s="16"/>
      <c r="KZS17" s="16"/>
      <c r="LAH17" s="16"/>
      <c r="LAW17" s="16"/>
      <c r="LBL17" s="16"/>
      <c r="LCA17" s="16"/>
      <c r="LCP17" s="16"/>
      <c r="LDE17" s="16"/>
      <c r="LDT17" s="16"/>
      <c r="LEI17" s="16"/>
      <c r="LEX17" s="16"/>
      <c r="LFM17" s="16"/>
      <c r="LGB17" s="16"/>
      <c r="LGQ17" s="16"/>
      <c r="LHF17" s="16"/>
      <c r="LHU17" s="16"/>
      <c r="LIJ17" s="16"/>
      <c r="LIY17" s="16"/>
      <c r="LJN17" s="16"/>
      <c r="LKC17" s="16"/>
      <c r="LKR17" s="16"/>
      <c r="LLG17" s="16"/>
      <c r="LLV17" s="16"/>
      <c r="LMK17" s="16"/>
      <c r="LMZ17" s="16"/>
      <c r="LNO17" s="16"/>
      <c r="LOD17" s="16"/>
      <c r="LOS17" s="16"/>
      <c r="LPH17" s="16"/>
      <c r="LPW17" s="16"/>
      <c r="LQL17" s="16"/>
      <c r="LRA17" s="16"/>
      <c r="LRP17" s="16"/>
      <c r="LSE17" s="16"/>
      <c r="LST17" s="16"/>
      <c r="LTI17" s="16"/>
      <c r="LTX17" s="16"/>
      <c r="LUM17" s="16"/>
      <c r="LVB17" s="16"/>
      <c r="LVQ17" s="16"/>
      <c r="LWF17" s="16"/>
      <c r="LWU17" s="16"/>
      <c r="LXJ17" s="16"/>
      <c r="LXY17" s="16"/>
      <c r="LYN17" s="16"/>
      <c r="LZC17" s="16"/>
      <c r="LZR17" s="16"/>
      <c r="MAG17" s="16"/>
      <c r="MAV17" s="16"/>
      <c r="MBK17" s="16"/>
      <c r="MBZ17" s="16"/>
      <c r="MCO17" s="16"/>
      <c r="MDD17" s="16"/>
      <c r="MDS17" s="16"/>
      <c r="MEH17" s="16"/>
      <c r="MEW17" s="16"/>
      <c r="MFL17" s="16"/>
      <c r="MGA17" s="16"/>
      <c r="MGP17" s="16"/>
      <c r="MHE17" s="16"/>
      <c r="MHT17" s="16"/>
      <c r="MII17" s="16"/>
      <c r="MIX17" s="16"/>
      <c r="MJM17" s="16"/>
      <c r="MKB17" s="16"/>
      <c r="MKQ17" s="16"/>
      <c r="MLF17" s="16"/>
      <c r="MLU17" s="16"/>
      <c r="MMJ17" s="16"/>
      <c r="MMY17" s="16"/>
      <c r="MNN17" s="16"/>
      <c r="MOC17" s="16"/>
      <c r="MOR17" s="16"/>
      <c r="MPG17" s="16"/>
      <c r="MPV17" s="16"/>
      <c r="MQK17" s="16"/>
      <c r="MQZ17" s="16"/>
      <c r="MRO17" s="16"/>
      <c r="MSD17" s="16"/>
      <c r="MSS17" s="16"/>
      <c r="MTH17" s="16"/>
      <c r="MTW17" s="16"/>
      <c r="MUL17" s="16"/>
      <c r="MVA17" s="16"/>
      <c r="MVP17" s="16"/>
      <c r="MWE17" s="16"/>
      <c r="MWT17" s="16"/>
      <c r="MXI17" s="16"/>
      <c r="MXX17" s="16"/>
      <c r="MYM17" s="16"/>
      <c r="MZB17" s="16"/>
      <c r="MZQ17" s="16"/>
      <c r="NAF17" s="16"/>
      <c r="NAU17" s="16"/>
      <c r="NBJ17" s="16"/>
      <c r="NBY17" s="16"/>
      <c r="NCN17" s="16"/>
      <c r="NDC17" s="16"/>
      <c r="NDR17" s="16"/>
      <c r="NEG17" s="16"/>
      <c r="NEV17" s="16"/>
      <c r="NFK17" s="16"/>
      <c r="NFZ17" s="16"/>
      <c r="NGO17" s="16"/>
      <c r="NHD17" s="16"/>
      <c r="NHS17" s="16"/>
      <c r="NIH17" s="16"/>
      <c r="NIW17" s="16"/>
      <c r="NJL17" s="16"/>
      <c r="NKA17" s="16"/>
      <c r="NKP17" s="16"/>
      <c r="NLE17" s="16"/>
      <c r="NLT17" s="16"/>
      <c r="NMI17" s="16"/>
      <c r="NMX17" s="16"/>
      <c r="NNM17" s="16"/>
      <c r="NOB17" s="16"/>
      <c r="NOQ17" s="16"/>
      <c r="NPF17" s="16"/>
      <c r="NPU17" s="16"/>
      <c r="NQJ17" s="16"/>
      <c r="NQY17" s="16"/>
      <c r="NRN17" s="16"/>
      <c r="NSC17" s="16"/>
      <c r="NSR17" s="16"/>
      <c r="NTG17" s="16"/>
      <c r="NTV17" s="16"/>
      <c r="NUK17" s="16"/>
      <c r="NUZ17" s="16"/>
      <c r="NVO17" s="16"/>
      <c r="NWD17" s="16"/>
      <c r="NWS17" s="16"/>
      <c r="NXH17" s="16"/>
      <c r="NXW17" s="16"/>
      <c r="NYL17" s="16"/>
      <c r="NZA17" s="16"/>
      <c r="NZP17" s="16"/>
      <c r="OAE17" s="16"/>
      <c r="OAT17" s="16"/>
      <c r="OBI17" s="16"/>
      <c r="OBX17" s="16"/>
      <c r="OCM17" s="16"/>
      <c r="ODB17" s="16"/>
      <c r="ODQ17" s="16"/>
      <c r="OEF17" s="16"/>
      <c r="OEU17" s="16"/>
      <c r="OFJ17" s="16"/>
      <c r="OFY17" s="16"/>
      <c r="OGN17" s="16"/>
      <c r="OHC17" s="16"/>
      <c r="OHR17" s="16"/>
      <c r="OIG17" s="16"/>
      <c r="OIV17" s="16"/>
      <c r="OJK17" s="16"/>
      <c r="OJZ17" s="16"/>
      <c r="OKO17" s="16"/>
      <c r="OLD17" s="16"/>
      <c r="OLS17" s="16"/>
      <c r="OMH17" s="16"/>
      <c r="OMW17" s="16"/>
      <c r="ONL17" s="16"/>
      <c r="OOA17" s="16"/>
      <c r="OOP17" s="16"/>
      <c r="OPE17" s="16"/>
      <c r="OPT17" s="16"/>
      <c r="OQI17" s="16"/>
      <c r="OQX17" s="16"/>
      <c r="ORM17" s="16"/>
      <c r="OSB17" s="16"/>
      <c r="OSQ17" s="16"/>
      <c r="OTF17" s="16"/>
      <c r="OTU17" s="16"/>
      <c r="OUJ17" s="16"/>
      <c r="OUY17" s="16"/>
      <c r="OVN17" s="16"/>
      <c r="OWC17" s="16"/>
      <c r="OWR17" s="16"/>
      <c r="OXG17" s="16"/>
      <c r="OXV17" s="16"/>
      <c r="OYK17" s="16"/>
      <c r="OYZ17" s="16"/>
      <c r="OZO17" s="16"/>
      <c r="PAD17" s="16"/>
      <c r="PAS17" s="16"/>
      <c r="PBH17" s="16"/>
      <c r="PBW17" s="16"/>
      <c r="PCL17" s="16"/>
      <c r="PDA17" s="16"/>
      <c r="PDP17" s="16"/>
      <c r="PEE17" s="16"/>
      <c r="PET17" s="16"/>
      <c r="PFI17" s="16"/>
      <c r="PFX17" s="16"/>
      <c r="PGM17" s="16"/>
      <c r="PHB17" s="16"/>
      <c r="PHQ17" s="16"/>
      <c r="PIF17" s="16"/>
      <c r="PIU17" s="16"/>
      <c r="PJJ17" s="16"/>
      <c r="PJY17" s="16"/>
      <c r="PKN17" s="16"/>
      <c r="PLC17" s="16"/>
      <c r="PLR17" s="16"/>
      <c r="PMG17" s="16"/>
      <c r="PMV17" s="16"/>
      <c r="PNK17" s="16"/>
      <c r="PNZ17" s="16"/>
      <c r="POO17" s="16"/>
      <c r="PPD17" s="16"/>
      <c r="PPS17" s="16"/>
      <c r="PQH17" s="16"/>
      <c r="PQW17" s="16"/>
      <c r="PRL17" s="16"/>
      <c r="PSA17" s="16"/>
      <c r="PSP17" s="16"/>
      <c r="PTE17" s="16"/>
      <c r="PTT17" s="16"/>
      <c r="PUI17" s="16"/>
      <c r="PUX17" s="16"/>
      <c r="PVM17" s="16"/>
      <c r="PWB17" s="16"/>
      <c r="PWQ17" s="16"/>
      <c r="PXF17" s="16"/>
      <c r="PXU17" s="16"/>
      <c r="PYJ17" s="16"/>
      <c r="PYY17" s="16"/>
      <c r="PZN17" s="16"/>
      <c r="QAC17" s="16"/>
      <c r="QAR17" s="16"/>
      <c r="QBG17" s="16"/>
      <c r="QBV17" s="16"/>
      <c r="QCK17" s="16"/>
      <c r="QCZ17" s="16"/>
      <c r="QDO17" s="16"/>
      <c r="QED17" s="16"/>
      <c r="QES17" s="16"/>
      <c r="QFH17" s="16"/>
      <c r="QFW17" s="16"/>
      <c r="QGL17" s="16"/>
      <c r="QHA17" s="16"/>
      <c r="QHP17" s="16"/>
      <c r="QIE17" s="16"/>
      <c r="QIT17" s="16"/>
      <c r="QJI17" s="16"/>
      <c r="QJX17" s="16"/>
      <c r="QKM17" s="16"/>
      <c r="QLB17" s="16"/>
      <c r="QLQ17" s="16"/>
      <c r="QMF17" s="16"/>
      <c r="QMU17" s="16"/>
      <c r="QNJ17" s="16"/>
      <c r="QNY17" s="16"/>
      <c r="QON17" s="16"/>
      <c r="QPC17" s="16"/>
      <c r="QPR17" s="16"/>
      <c r="QQG17" s="16"/>
      <c r="QQV17" s="16"/>
      <c r="QRK17" s="16"/>
      <c r="QRZ17" s="16"/>
      <c r="QSO17" s="16"/>
      <c r="QTD17" s="16"/>
      <c r="QTS17" s="16"/>
      <c r="QUH17" s="16"/>
      <c r="QUW17" s="16"/>
      <c r="QVL17" s="16"/>
      <c r="QWA17" s="16"/>
      <c r="QWP17" s="16"/>
      <c r="QXE17" s="16"/>
      <c r="QXT17" s="16"/>
      <c r="QYI17" s="16"/>
      <c r="QYX17" s="16"/>
      <c r="QZM17" s="16"/>
      <c r="RAB17" s="16"/>
      <c r="RAQ17" s="16"/>
      <c r="RBF17" s="16"/>
      <c r="RBU17" s="16"/>
      <c r="RCJ17" s="16"/>
      <c r="RCY17" s="16"/>
      <c r="RDN17" s="16"/>
      <c r="REC17" s="16"/>
      <c r="RER17" s="16"/>
      <c r="RFG17" s="16"/>
      <c r="RFV17" s="16"/>
      <c r="RGK17" s="16"/>
      <c r="RGZ17" s="16"/>
      <c r="RHO17" s="16"/>
      <c r="RID17" s="16"/>
      <c r="RIS17" s="16"/>
      <c r="RJH17" s="16"/>
      <c r="RJW17" s="16"/>
      <c r="RKL17" s="16"/>
      <c r="RLA17" s="16"/>
      <c r="RLP17" s="16"/>
      <c r="RME17" s="16"/>
      <c r="RMT17" s="16"/>
      <c r="RNI17" s="16"/>
      <c r="RNX17" s="16"/>
      <c r="ROM17" s="16"/>
      <c r="RPB17" s="16"/>
      <c r="RPQ17" s="16"/>
      <c r="RQF17" s="16"/>
      <c r="RQU17" s="16"/>
      <c r="RRJ17" s="16"/>
      <c r="RRY17" s="16"/>
      <c r="RSN17" s="16"/>
      <c r="RTC17" s="16"/>
      <c r="RTR17" s="16"/>
      <c r="RUG17" s="16"/>
      <c r="RUV17" s="16"/>
      <c r="RVK17" s="16"/>
      <c r="RVZ17" s="16"/>
      <c r="RWO17" s="16"/>
      <c r="RXD17" s="16"/>
      <c r="RXS17" s="16"/>
      <c r="RYH17" s="16"/>
      <c r="RYW17" s="16"/>
      <c r="RZL17" s="16"/>
      <c r="SAA17" s="16"/>
      <c r="SAP17" s="16"/>
      <c r="SBE17" s="16"/>
      <c r="SBT17" s="16"/>
      <c r="SCI17" s="16"/>
      <c r="SCX17" s="16"/>
      <c r="SDM17" s="16"/>
      <c r="SEB17" s="16"/>
      <c r="SEQ17" s="16"/>
      <c r="SFF17" s="16"/>
      <c r="SFU17" s="16"/>
      <c r="SGJ17" s="16"/>
      <c r="SGY17" s="16"/>
      <c r="SHN17" s="16"/>
      <c r="SIC17" s="16"/>
      <c r="SIR17" s="16"/>
      <c r="SJG17" s="16"/>
      <c r="SJV17" s="16"/>
      <c r="SKK17" s="16"/>
      <c r="SKZ17" s="16"/>
      <c r="SLO17" s="16"/>
      <c r="SMD17" s="16"/>
      <c r="SMS17" s="16"/>
      <c r="SNH17" s="16"/>
      <c r="SNW17" s="16"/>
      <c r="SOL17" s="16"/>
      <c r="SPA17" s="16"/>
      <c r="SPP17" s="16"/>
      <c r="SQE17" s="16"/>
      <c r="SQT17" s="16"/>
      <c r="SRI17" s="16"/>
      <c r="SRX17" s="16"/>
      <c r="SSM17" s="16"/>
      <c r="STB17" s="16"/>
      <c r="STQ17" s="16"/>
      <c r="SUF17" s="16"/>
      <c r="SUU17" s="16"/>
      <c r="SVJ17" s="16"/>
      <c r="SVY17" s="16"/>
      <c r="SWN17" s="16"/>
      <c r="SXC17" s="16"/>
      <c r="SXR17" s="16"/>
      <c r="SYG17" s="16"/>
      <c r="SYV17" s="16"/>
      <c r="SZK17" s="16"/>
      <c r="SZZ17" s="16"/>
      <c r="TAO17" s="16"/>
      <c r="TBD17" s="16"/>
      <c r="TBS17" s="16"/>
      <c r="TCH17" s="16"/>
      <c r="TCW17" s="16"/>
      <c r="TDL17" s="16"/>
      <c r="TEA17" s="16"/>
      <c r="TEP17" s="16"/>
      <c r="TFE17" s="16"/>
      <c r="TFT17" s="16"/>
      <c r="TGI17" s="16"/>
      <c r="TGX17" s="16"/>
      <c r="THM17" s="16"/>
      <c r="TIB17" s="16"/>
      <c r="TIQ17" s="16"/>
      <c r="TJF17" s="16"/>
      <c r="TJU17" s="16"/>
      <c r="TKJ17" s="16"/>
      <c r="TKY17" s="16"/>
      <c r="TLN17" s="16"/>
      <c r="TMC17" s="16"/>
      <c r="TMR17" s="16"/>
      <c r="TNG17" s="16"/>
      <c r="TNV17" s="16"/>
      <c r="TOK17" s="16"/>
      <c r="TOZ17" s="16"/>
      <c r="TPO17" s="16"/>
      <c r="TQD17" s="16"/>
      <c r="TQS17" s="16"/>
      <c r="TRH17" s="16"/>
      <c r="TRW17" s="16"/>
      <c r="TSL17" s="16"/>
      <c r="TTA17" s="16"/>
      <c r="TTP17" s="16"/>
      <c r="TUE17" s="16"/>
      <c r="TUT17" s="16"/>
      <c r="TVI17" s="16"/>
      <c r="TVX17" s="16"/>
      <c r="TWM17" s="16"/>
      <c r="TXB17" s="16"/>
      <c r="TXQ17" s="16"/>
      <c r="TYF17" s="16"/>
      <c r="TYU17" s="16"/>
      <c r="TZJ17" s="16"/>
      <c r="TZY17" s="16"/>
      <c r="UAN17" s="16"/>
      <c r="UBC17" s="16"/>
      <c r="UBR17" s="16"/>
      <c r="UCG17" s="16"/>
      <c r="UCV17" s="16"/>
      <c r="UDK17" s="16"/>
      <c r="UDZ17" s="16"/>
      <c r="UEO17" s="16"/>
      <c r="UFD17" s="16"/>
      <c r="UFS17" s="16"/>
      <c r="UGH17" s="16"/>
      <c r="UGW17" s="16"/>
      <c r="UHL17" s="16"/>
      <c r="UIA17" s="16"/>
      <c r="UIP17" s="16"/>
      <c r="UJE17" s="16"/>
      <c r="UJT17" s="16"/>
      <c r="UKI17" s="16"/>
      <c r="UKX17" s="16"/>
      <c r="ULM17" s="16"/>
      <c r="UMB17" s="16"/>
      <c r="UMQ17" s="16"/>
      <c r="UNF17" s="16"/>
      <c r="UNU17" s="16"/>
      <c r="UOJ17" s="16"/>
      <c r="UOY17" s="16"/>
      <c r="UPN17" s="16"/>
      <c r="UQC17" s="16"/>
      <c r="UQR17" s="16"/>
      <c r="URG17" s="16"/>
      <c r="URV17" s="16"/>
      <c r="USK17" s="16"/>
      <c r="USZ17" s="16"/>
      <c r="UTO17" s="16"/>
      <c r="UUD17" s="16"/>
      <c r="UUS17" s="16"/>
      <c r="UVH17" s="16"/>
      <c r="UVW17" s="16"/>
      <c r="UWL17" s="16"/>
      <c r="UXA17" s="16"/>
      <c r="UXP17" s="16"/>
      <c r="UYE17" s="16"/>
      <c r="UYT17" s="16"/>
      <c r="UZI17" s="16"/>
      <c r="UZX17" s="16"/>
      <c r="VAM17" s="16"/>
      <c r="VBB17" s="16"/>
      <c r="VBQ17" s="16"/>
      <c r="VCF17" s="16"/>
      <c r="VCU17" s="16"/>
      <c r="VDJ17" s="16"/>
      <c r="VDY17" s="16"/>
      <c r="VEN17" s="16"/>
      <c r="VFC17" s="16"/>
      <c r="VFR17" s="16"/>
      <c r="VGG17" s="16"/>
      <c r="VGV17" s="16"/>
      <c r="VHK17" s="16"/>
      <c r="VHZ17" s="16"/>
      <c r="VIO17" s="16"/>
      <c r="VJD17" s="16"/>
      <c r="VJS17" s="16"/>
      <c r="VKH17" s="16"/>
      <c r="VKW17" s="16"/>
      <c r="VLL17" s="16"/>
      <c r="VMA17" s="16"/>
      <c r="VMP17" s="16"/>
      <c r="VNE17" s="16"/>
      <c r="VNT17" s="16"/>
      <c r="VOI17" s="16"/>
      <c r="VOX17" s="16"/>
      <c r="VPM17" s="16"/>
      <c r="VQB17" s="16"/>
      <c r="VQQ17" s="16"/>
      <c r="VRF17" s="16"/>
      <c r="VRU17" s="16"/>
      <c r="VSJ17" s="16"/>
      <c r="VSY17" s="16"/>
      <c r="VTN17" s="16"/>
      <c r="VUC17" s="16"/>
      <c r="VUR17" s="16"/>
      <c r="VVG17" s="16"/>
      <c r="VVV17" s="16"/>
      <c r="VWK17" s="16"/>
      <c r="VWZ17" s="16"/>
      <c r="VXO17" s="16"/>
      <c r="VYD17" s="16"/>
      <c r="VYS17" s="16"/>
      <c r="VZH17" s="16"/>
      <c r="VZW17" s="16"/>
      <c r="WAL17" s="16"/>
      <c r="WBA17" s="16"/>
      <c r="WBP17" s="16"/>
      <c r="WCE17" s="16"/>
      <c r="WCT17" s="16"/>
      <c r="WDI17" s="16"/>
      <c r="WDX17" s="16"/>
      <c r="WEM17" s="16"/>
      <c r="WFB17" s="16"/>
      <c r="WFQ17" s="16"/>
      <c r="WGF17" s="16"/>
      <c r="WGU17" s="16"/>
      <c r="WHJ17" s="16"/>
      <c r="WHY17" s="16"/>
      <c r="WIN17" s="16"/>
      <c r="WJC17" s="16"/>
      <c r="WJR17" s="16"/>
      <c r="WKG17" s="16"/>
      <c r="WKV17" s="16"/>
      <c r="WLK17" s="16"/>
      <c r="WLZ17" s="16"/>
      <c r="WMO17" s="16"/>
      <c r="WND17" s="16"/>
      <c r="WNS17" s="16"/>
      <c r="WOH17" s="16"/>
      <c r="WOW17" s="16"/>
      <c r="WPL17" s="16"/>
      <c r="WQA17" s="16"/>
      <c r="WQP17" s="16"/>
      <c r="WRE17" s="16"/>
      <c r="WRT17" s="16"/>
      <c r="WSI17" s="16"/>
      <c r="WSX17" s="16"/>
      <c r="WTM17" s="16"/>
      <c r="WUB17" s="16"/>
      <c r="WUQ17" s="16"/>
      <c r="WVF17" s="16"/>
      <c r="WVU17" s="16"/>
      <c r="WWJ17" s="16"/>
      <c r="WWY17" s="16"/>
      <c r="WXN17" s="16"/>
      <c r="WYC17" s="16"/>
      <c r="WYR17" s="16"/>
      <c r="WZG17" s="16"/>
      <c r="WZV17" s="16"/>
      <c r="XAK17" s="16"/>
      <c r="XAZ17" s="16"/>
      <c r="XBO17" s="16"/>
      <c r="XCD17" s="16"/>
      <c r="XCS17" s="16"/>
      <c r="XDH17" s="16"/>
      <c r="XDW17" s="16"/>
      <c r="XEL17" s="16"/>
      <c r="XFA17" s="16"/>
    </row>
    <row r="18" spans="1:1021 1036:2041 2056:3061 3076:4096 4111:5116 5131:6136 6151:7156 7171:8191 8206:9211 9226:10231 10246:11251 11266:12286 12301:13306 13321:14326 14341:15346 15361:16381" x14ac:dyDescent="0.3">
      <c r="A18" s="16">
        <v>41219</v>
      </c>
      <c r="B18" s="16">
        <v>41221</v>
      </c>
      <c r="C18" t="str">
        <v>Toby Swindell</v>
      </c>
      <c r="D18" t="str">
        <v>Porirua</v>
      </c>
      <c r="E18" t="str">
        <v>Wellington</v>
      </c>
      <c r="F18" t="str">
        <v>New Zealand</v>
      </c>
      <c r="G18" t="str">
        <v>Oceania</v>
      </c>
      <c r="H18" t="str">
        <v>Asia Pacific</v>
      </c>
      <c r="I18" t="str">
        <v>Furniture</v>
      </c>
      <c r="J18" t="str">
        <v>Consumer</v>
      </c>
      <c r="K18" t="str">
        <v>Chairs</v>
      </c>
      <c r="L18">
        <v>1822.0799999999997</v>
      </c>
      <c r="M18">
        <v>4</v>
      </c>
      <c r="N18">
        <v>0</v>
      </c>
      <c r="O18">
        <v>564.84</v>
      </c>
      <c r="P18" s="16"/>
      <c r="AE18" s="16"/>
      <c r="AT18" s="16"/>
      <c r="BI18" s="16"/>
      <c r="BX18" s="16"/>
      <c r="CM18" s="16"/>
      <c r="DB18" s="16"/>
      <c r="DQ18" s="16"/>
      <c r="EF18" s="16"/>
      <c r="EU18" s="16"/>
      <c r="FJ18" s="16"/>
      <c r="FY18" s="16"/>
      <c r="GN18" s="16"/>
      <c r="HC18" s="16"/>
      <c r="HR18" s="16"/>
      <c r="IG18" s="16"/>
      <c r="IV18" s="16"/>
      <c r="JK18" s="16"/>
      <c r="JZ18" s="16"/>
      <c r="KO18" s="16"/>
      <c r="LD18" s="16"/>
      <c r="LS18" s="16"/>
      <c r="MH18" s="16"/>
      <c r="MW18" s="16"/>
      <c r="NL18" s="16"/>
      <c r="OA18" s="16"/>
      <c r="OP18" s="16"/>
      <c r="PE18" s="16"/>
      <c r="PT18" s="16"/>
      <c r="QI18" s="16"/>
      <c r="QX18" s="16"/>
      <c r="RM18" s="16"/>
      <c r="SB18" s="16"/>
      <c r="SQ18" s="16"/>
      <c r="TF18" s="16"/>
      <c r="TU18" s="16"/>
      <c r="UJ18" s="16"/>
      <c r="UY18" s="16"/>
      <c r="VN18" s="16"/>
      <c r="WC18" s="16"/>
      <c r="WR18" s="16"/>
      <c r="XG18" s="16"/>
      <c r="XV18" s="16"/>
      <c r="YK18" s="16"/>
      <c r="YZ18" s="16"/>
      <c r="ZO18" s="16"/>
      <c r="AAD18" s="16"/>
      <c r="AAS18" s="16"/>
      <c r="ABH18" s="16"/>
      <c r="ABW18" s="16"/>
      <c r="ACL18" s="16"/>
      <c r="ADA18" s="16"/>
      <c r="ADP18" s="16"/>
      <c r="AEE18" s="16"/>
      <c r="AET18" s="16"/>
      <c r="AFI18" s="16"/>
      <c r="AFX18" s="16"/>
      <c r="AGM18" s="16"/>
      <c r="AHB18" s="16"/>
      <c r="AHQ18" s="16"/>
      <c r="AIF18" s="16"/>
      <c r="AIU18" s="16"/>
      <c r="AJJ18" s="16"/>
      <c r="AJY18" s="16"/>
      <c r="AKN18" s="16"/>
      <c r="ALC18" s="16"/>
      <c r="ALR18" s="16"/>
      <c r="AMG18" s="16"/>
      <c r="AMV18" s="16"/>
      <c r="ANK18" s="16"/>
      <c r="ANZ18" s="16"/>
      <c r="AOO18" s="16"/>
      <c r="APD18" s="16"/>
      <c r="APS18" s="16"/>
      <c r="AQH18" s="16"/>
      <c r="AQW18" s="16"/>
      <c r="ARL18" s="16"/>
      <c r="ASA18" s="16"/>
      <c r="ASP18" s="16"/>
      <c r="ATE18" s="16"/>
      <c r="ATT18" s="16"/>
      <c r="AUI18" s="16"/>
      <c r="AUX18" s="16"/>
      <c r="AVM18" s="16"/>
      <c r="AWB18" s="16"/>
      <c r="AWQ18" s="16"/>
      <c r="AXF18" s="16"/>
      <c r="AXU18" s="16"/>
      <c r="AYJ18" s="16"/>
      <c r="AYY18" s="16"/>
      <c r="AZN18" s="16"/>
      <c r="BAC18" s="16"/>
      <c r="BAR18" s="16"/>
      <c r="BBG18" s="16"/>
      <c r="BBV18" s="16"/>
      <c r="BCK18" s="16"/>
      <c r="BCZ18" s="16"/>
      <c r="BDO18" s="16"/>
      <c r="BED18" s="16"/>
      <c r="BES18" s="16"/>
      <c r="BFH18" s="16"/>
      <c r="BFW18" s="16"/>
      <c r="BGL18" s="16"/>
      <c r="BHA18" s="16"/>
      <c r="BHP18" s="16"/>
      <c r="BIE18" s="16"/>
      <c r="BIT18" s="16"/>
      <c r="BJI18" s="16"/>
      <c r="BJX18" s="16"/>
      <c r="BKM18" s="16"/>
      <c r="BLB18" s="16"/>
      <c r="BLQ18" s="16"/>
      <c r="BMF18" s="16"/>
      <c r="BMU18" s="16"/>
      <c r="BNJ18" s="16"/>
      <c r="BNY18" s="16"/>
      <c r="BON18" s="16"/>
      <c r="BPC18" s="16"/>
      <c r="BPR18" s="16"/>
      <c r="BQG18" s="16"/>
      <c r="BQV18" s="16"/>
      <c r="BRK18" s="16"/>
      <c r="BRZ18" s="16"/>
      <c r="BSO18" s="16"/>
      <c r="BTD18" s="16"/>
      <c r="BTS18" s="16"/>
      <c r="BUH18" s="16"/>
      <c r="BUW18" s="16"/>
      <c r="BVL18" s="16"/>
      <c r="BWA18" s="16"/>
      <c r="BWP18" s="16"/>
      <c r="BXE18" s="16"/>
      <c r="BXT18" s="16"/>
      <c r="BYI18" s="16"/>
      <c r="BYX18" s="16"/>
      <c r="BZM18" s="16"/>
      <c r="CAB18" s="16"/>
      <c r="CAQ18" s="16"/>
      <c r="CBF18" s="16"/>
      <c r="CBU18" s="16"/>
      <c r="CCJ18" s="16"/>
      <c r="CCY18" s="16"/>
      <c r="CDN18" s="16"/>
      <c r="CEC18" s="16"/>
      <c r="CER18" s="16"/>
      <c r="CFG18" s="16"/>
      <c r="CFV18" s="16"/>
      <c r="CGK18" s="16"/>
      <c r="CGZ18" s="16"/>
      <c r="CHO18" s="16"/>
      <c r="CID18" s="16"/>
      <c r="CIS18" s="16"/>
      <c r="CJH18" s="16"/>
      <c r="CJW18" s="16"/>
      <c r="CKL18" s="16"/>
      <c r="CLA18" s="16"/>
      <c r="CLP18" s="16"/>
      <c r="CME18" s="16"/>
      <c r="CMT18" s="16"/>
      <c r="CNI18" s="16"/>
      <c r="CNX18" s="16"/>
      <c r="COM18" s="16"/>
      <c r="CPB18" s="16"/>
      <c r="CPQ18" s="16"/>
      <c r="CQF18" s="16"/>
      <c r="CQU18" s="16"/>
      <c r="CRJ18" s="16"/>
      <c r="CRY18" s="16"/>
      <c r="CSN18" s="16"/>
      <c r="CTC18" s="16"/>
      <c r="CTR18" s="16"/>
      <c r="CUG18" s="16"/>
      <c r="CUV18" s="16"/>
      <c r="CVK18" s="16"/>
      <c r="CVZ18" s="16"/>
      <c r="CWO18" s="16"/>
      <c r="CXD18" s="16"/>
      <c r="CXS18" s="16"/>
      <c r="CYH18" s="16"/>
      <c r="CYW18" s="16"/>
      <c r="CZL18" s="16"/>
      <c r="DAA18" s="16"/>
      <c r="DAP18" s="16"/>
      <c r="DBE18" s="16"/>
      <c r="DBT18" s="16"/>
      <c r="DCI18" s="16"/>
      <c r="DCX18" s="16"/>
      <c r="DDM18" s="16"/>
      <c r="DEB18" s="16"/>
      <c r="DEQ18" s="16"/>
      <c r="DFF18" s="16"/>
      <c r="DFU18" s="16"/>
      <c r="DGJ18" s="16"/>
      <c r="DGY18" s="16"/>
      <c r="DHN18" s="16"/>
      <c r="DIC18" s="16"/>
      <c r="DIR18" s="16"/>
      <c r="DJG18" s="16"/>
      <c r="DJV18" s="16"/>
      <c r="DKK18" s="16"/>
      <c r="DKZ18" s="16"/>
      <c r="DLO18" s="16"/>
      <c r="DMD18" s="16"/>
      <c r="DMS18" s="16"/>
      <c r="DNH18" s="16"/>
      <c r="DNW18" s="16"/>
      <c r="DOL18" s="16"/>
      <c r="DPA18" s="16"/>
      <c r="DPP18" s="16"/>
      <c r="DQE18" s="16"/>
      <c r="DQT18" s="16"/>
      <c r="DRI18" s="16"/>
      <c r="DRX18" s="16"/>
      <c r="DSM18" s="16"/>
      <c r="DTB18" s="16"/>
      <c r="DTQ18" s="16"/>
      <c r="DUF18" s="16"/>
      <c r="DUU18" s="16"/>
      <c r="DVJ18" s="16"/>
      <c r="DVY18" s="16"/>
      <c r="DWN18" s="16"/>
      <c r="DXC18" s="16"/>
      <c r="DXR18" s="16"/>
      <c r="DYG18" s="16"/>
      <c r="DYV18" s="16"/>
      <c r="DZK18" s="16"/>
      <c r="DZZ18" s="16"/>
      <c r="EAO18" s="16"/>
      <c r="EBD18" s="16"/>
      <c r="EBS18" s="16"/>
      <c r="ECH18" s="16"/>
      <c r="ECW18" s="16"/>
      <c r="EDL18" s="16"/>
      <c r="EEA18" s="16"/>
      <c r="EEP18" s="16"/>
      <c r="EFE18" s="16"/>
      <c r="EFT18" s="16"/>
      <c r="EGI18" s="16"/>
      <c r="EGX18" s="16"/>
      <c r="EHM18" s="16"/>
      <c r="EIB18" s="16"/>
      <c r="EIQ18" s="16"/>
      <c r="EJF18" s="16"/>
      <c r="EJU18" s="16"/>
      <c r="EKJ18" s="16"/>
      <c r="EKY18" s="16"/>
      <c r="ELN18" s="16"/>
      <c r="EMC18" s="16"/>
      <c r="EMR18" s="16"/>
      <c r="ENG18" s="16"/>
      <c r="ENV18" s="16"/>
      <c r="EOK18" s="16"/>
      <c r="EOZ18" s="16"/>
      <c r="EPO18" s="16"/>
      <c r="EQD18" s="16"/>
      <c r="EQS18" s="16"/>
      <c r="ERH18" s="16"/>
      <c r="ERW18" s="16"/>
      <c r="ESL18" s="16"/>
      <c r="ETA18" s="16"/>
      <c r="ETP18" s="16"/>
      <c r="EUE18" s="16"/>
      <c r="EUT18" s="16"/>
      <c r="EVI18" s="16"/>
      <c r="EVX18" s="16"/>
      <c r="EWM18" s="16"/>
      <c r="EXB18" s="16"/>
      <c r="EXQ18" s="16"/>
      <c r="EYF18" s="16"/>
      <c r="EYU18" s="16"/>
      <c r="EZJ18" s="16"/>
      <c r="EZY18" s="16"/>
      <c r="FAN18" s="16"/>
      <c r="FBC18" s="16"/>
      <c r="FBR18" s="16"/>
      <c r="FCG18" s="16"/>
      <c r="FCV18" s="16"/>
      <c r="FDK18" s="16"/>
      <c r="FDZ18" s="16"/>
      <c r="FEO18" s="16"/>
      <c r="FFD18" s="16"/>
      <c r="FFS18" s="16"/>
      <c r="FGH18" s="16"/>
      <c r="FGW18" s="16"/>
      <c r="FHL18" s="16"/>
      <c r="FIA18" s="16"/>
      <c r="FIP18" s="16"/>
      <c r="FJE18" s="16"/>
      <c r="FJT18" s="16"/>
      <c r="FKI18" s="16"/>
      <c r="FKX18" s="16"/>
      <c r="FLM18" s="16"/>
      <c r="FMB18" s="16"/>
      <c r="FMQ18" s="16"/>
      <c r="FNF18" s="16"/>
      <c r="FNU18" s="16"/>
      <c r="FOJ18" s="16"/>
      <c r="FOY18" s="16"/>
      <c r="FPN18" s="16"/>
      <c r="FQC18" s="16"/>
      <c r="FQR18" s="16"/>
      <c r="FRG18" s="16"/>
      <c r="FRV18" s="16"/>
      <c r="FSK18" s="16"/>
      <c r="FSZ18" s="16"/>
      <c r="FTO18" s="16"/>
      <c r="FUD18" s="16"/>
      <c r="FUS18" s="16"/>
      <c r="FVH18" s="16"/>
      <c r="FVW18" s="16"/>
      <c r="FWL18" s="16"/>
      <c r="FXA18" s="16"/>
      <c r="FXP18" s="16"/>
      <c r="FYE18" s="16"/>
      <c r="FYT18" s="16"/>
      <c r="FZI18" s="16"/>
      <c r="FZX18" s="16"/>
      <c r="GAM18" s="16"/>
      <c r="GBB18" s="16"/>
      <c r="GBQ18" s="16"/>
      <c r="GCF18" s="16"/>
      <c r="GCU18" s="16"/>
      <c r="GDJ18" s="16"/>
      <c r="GDY18" s="16"/>
      <c r="GEN18" s="16"/>
      <c r="GFC18" s="16"/>
      <c r="GFR18" s="16"/>
      <c r="GGG18" s="16"/>
      <c r="GGV18" s="16"/>
      <c r="GHK18" s="16"/>
      <c r="GHZ18" s="16"/>
      <c r="GIO18" s="16"/>
      <c r="GJD18" s="16"/>
      <c r="GJS18" s="16"/>
      <c r="GKH18" s="16"/>
      <c r="GKW18" s="16"/>
      <c r="GLL18" s="16"/>
      <c r="GMA18" s="16"/>
      <c r="GMP18" s="16"/>
      <c r="GNE18" s="16"/>
      <c r="GNT18" s="16"/>
      <c r="GOI18" s="16"/>
      <c r="GOX18" s="16"/>
      <c r="GPM18" s="16"/>
      <c r="GQB18" s="16"/>
      <c r="GQQ18" s="16"/>
      <c r="GRF18" s="16"/>
      <c r="GRU18" s="16"/>
      <c r="GSJ18" s="16"/>
      <c r="GSY18" s="16"/>
      <c r="GTN18" s="16"/>
      <c r="GUC18" s="16"/>
      <c r="GUR18" s="16"/>
      <c r="GVG18" s="16"/>
      <c r="GVV18" s="16"/>
      <c r="GWK18" s="16"/>
      <c r="GWZ18" s="16"/>
      <c r="GXO18" s="16"/>
      <c r="GYD18" s="16"/>
      <c r="GYS18" s="16"/>
      <c r="GZH18" s="16"/>
      <c r="GZW18" s="16"/>
      <c r="HAL18" s="16"/>
      <c r="HBA18" s="16"/>
      <c r="HBP18" s="16"/>
      <c r="HCE18" s="16"/>
      <c r="HCT18" s="16"/>
      <c r="HDI18" s="16"/>
      <c r="HDX18" s="16"/>
      <c r="HEM18" s="16"/>
      <c r="HFB18" s="16"/>
      <c r="HFQ18" s="16"/>
      <c r="HGF18" s="16"/>
      <c r="HGU18" s="16"/>
      <c r="HHJ18" s="16"/>
      <c r="HHY18" s="16"/>
      <c r="HIN18" s="16"/>
      <c r="HJC18" s="16"/>
      <c r="HJR18" s="16"/>
      <c r="HKG18" s="16"/>
      <c r="HKV18" s="16"/>
      <c r="HLK18" s="16"/>
      <c r="HLZ18" s="16"/>
      <c r="HMO18" s="16"/>
      <c r="HND18" s="16"/>
      <c r="HNS18" s="16"/>
      <c r="HOH18" s="16"/>
      <c r="HOW18" s="16"/>
      <c r="HPL18" s="16"/>
      <c r="HQA18" s="16"/>
      <c r="HQP18" s="16"/>
      <c r="HRE18" s="16"/>
      <c r="HRT18" s="16"/>
      <c r="HSI18" s="16"/>
      <c r="HSX18" s="16"/>
      <c r="HTM18" s="16"/>
      <c r="HUB18" s="16"/>
      <c r="HUQ18" s="16"/>
      <c r="HVF18" s="16"/>
      <c r="HVU18" s="16"/>
      <c r="HWJ18" s="16"/>
      <c r="HWY18" s="16"/>
      <c r="HXN18" s="16"/>
      <c r="HYC18" s="16"/>
      <c r="HYR18" s="16"/>
      <c r="HZG18" s="16"/>
      <c r="HZV18" s="16"/>
      <c r="IAK18" s="16"/>
      <c r="IAZ18" s="16"/>
      <c r="IBO18" s="16"/>
      <c r="ICD18" s="16"/>
      <c r="ICS18" s="16"/>
      <c r="IDH18" s="16"/>
      <c r="IDW18" s="16"/>
      <c r="IEL18" s="16"/>
      <c r="IFA18" s="16"/>
      <c r="IFP18" s="16"/>
      <c r="IGE18" s="16"/>
      <c r="IGT18" s="16"/>
      <c r="IHI18" s="16"/>
      <c r="IHX18" s="16"/>
      <c r="IIM18" s="16"/>
      <c r="IJB18" s="16"/>
      <c r="IJQ18" s="16"/>
      <c r="IKF18" s="16"/>
      <c r="IKU18" s="16"/>
      <c r="ILJ18" s="16"/>
      <c r="ILY18" s="16"/>
      <c r="IMN18" s="16"/>
      <c r="INC18" s="16"/>
      <c r="INR18" s="16"/>
      <c r="IOG18" s="16"/>
      <c r="IOV18" s="16"/>
      <c r="IPK18" s="16"/>
      <c r="IPZ18" s="16"/>
      <c r="IQO18" s="16"/>
      <c r="IRD18" s="16"/>
      <c r="IRS18" s="16"/>
      <c r="ISH18" s="16"/>
      <c r="ISW18" s="16"/>
      <c r="ITL18" s="16"/>
      <c r="IUA18" s="16"/>
      <c r="IUP18" s="16"/>
      <c r="IVE18" s="16"/>
      <c r="IVT18" s="16"/>
      <c r="IWI18" s="16"/>
      <c r="IWX18" s="16"/>
      <c r="IXM18" s="16"/>
      <c r="IYB18" s="16"/>
      <c r="IYQ18" s="16"/>
      <c r="IZF18" s="16"/>
      <c r="IZU18" s="16"/>
      <c r="JAJ18" s="16"/>
      <c r="JAY18" s="16"/>
      <c r="JBN18" s="16"/>
      <c r="JCC18" s="16"/>
      <c r="JCR18" s="16"/>
      <c r="JDG18" s="16"/>
      <c r="JDV18" s="16"/>
      <c r="JEK18" s="16"/>
      <c r="JEZ18" s="16"/>
      <c r="JFO18" s="16"/>
      <c r="JGD18" s="16"/>
      <c r="JGS18" s="16"/>
      <c r="JHH18" s="16"/>
      <c r="JHW18" s="16"/>
      <c r="JIL18" s="16"/>
      <c r="JJA18" s="16"/>
      <c r="JJP18" s="16"/>
      <c r="JKE18" s="16"/>
      <c r="JKT18" s="16"/>
      <c r="JLI18" s="16"/>
      <c r="JLX18" s="16"/>
      <c r="JMM18" s="16"/>
      <c r="JNB18" s="16"/>
      <c r="JNQ18" s="16"/>
      <c r="JOF18" s="16"/>
      <c r="JOU18" s="16"/>
      <c r="JPJ18" s="16"/>
      <c r="JPY18" s="16"/>
      <c r="JQN18" s="16"/>
      <c r="JRC18" s="16"/>
      <c r="JRR18" s="16"/>
      <c r="JSG18" s="16"/>
      <c r="JSV18" s="16"/>
      <c r="JTK18" s="16"/>
      <c r="JTZ18" s="16"/>
      <c r="JUO18" s="16"/>
      <c r="JVD18" s="16"/>
      <c r="JVS18" s="16"/>
      <c r="JWH18" s="16"/>
      <c r="JWW18" s="16"/>
      <c r="JXL18" s="16"/>
      <c r="JYA18" s="16"/>
      <c r="JYP18" s="16"/>
      <c r="JZE18" s="16"/>
      <c r="JZT18" s="16"/>
      <c r="KAI18" s="16"/>
      <c r="KAX18" s="16"/>
      <c r="KBM18" s="16"/>
      <c r="KCB18" s="16"/>
      <c r="KCQ18" s="16"/>
      <c r="KDF18" s="16"/>
      <c r="KDU18" s="16"/>
      <c r="KEJ18" s="16"/>
      <c r="KEY18" s="16"/>
      <c r="KFN18" s="16"/>
      <c r="KGC18" s="16"/>
      <c r="KGR18" s="16"/>
      <c r="KHG18" s="16"/>
      <c r="KHV18" s="16"/>
      <c r="KIK18" s="16"/>
      <c r="KIZ18" s="16"/>
      <c r="KJO18" s="16"/>
      <c r="KKD18" s="16"/>
      <c r="KKS18" s="16"/>
      <c r="KLH18" s="16"/>
      <c r="KLW18" s="16"/>
      <c r="KML18" s="16"/>
      <c r="KNA18" s="16"/>
      <c r="KNP18" s="16"/>
      <c r="KOE18" s="16"/>
      <c r="KOT18" s="16"/>
      <c r="KPI18" s="16"/>
      <c r="KPX18" s="16"/>
      <c r="KQM18" s="16"/>
      <c r="KRB18" s="16"/>
      <c r="KRQ18" s="16"/>
      <c r="KSF18" s="16"/>
      <c r="KSU18" s="16"/>
      <c r="KTJ18" s="16"/>
      <c r="KTY18" s="16"/>
      <c r="KUN18" s="16"/>
      <c r="KVC18" s="16"/>
      <c r="KVR18" s="16"/>
      <c r="KWG18" s="16"/>
      <c r="KWV18" s="16"/>
      <c r="KXK18" s="16"/>
      <c r="KXZ18" s="16"/>
      <c r="KYO18" s="16"/>
      <c r="KZD18" s="16"/>
      <c r="KZS18" s="16"/>
      <c r="LAH18" s="16"/>
      <c r="LAW18" s="16"/>
      <c r="LBL18" s="16"/>
      <c r="LCA18" s="16"/>
      <c r="LCP18" s="16"/>
      <c r="LDE18" s="16"/>
      <c r="LDT18" s="16"/>
      <c r="LEI18" s="16"/>
      <c r="LEX18" s="16"/>
      <c r="LFM18" s="16"/>
      <c r="LGB18" s="16"/>
      <c r="LGQ18" s="16"/>
      <c r="LHF18" s="16"/>
      <c r="LHU18" s="16"/>
      <c r="LIJ18" s="16"/>
      <c r="LIY18" s="16"/>
      <c r="LJN18" s="16"/>
      <c r="LKC18" s="16"/>
      <c r="LKR18" s="16"/>
      <c r="LLG18" s="16"/>
      <c r="LLV18" s="16"/>
      <c r="LMK18" s="16"/>
      <c r="LMZ18" s="16"/>
      <c r="LNO18" s="16"/>
      <c r="LOD18" s="16"/>
      <c r="LOS18" s="16"/>
      <c r="LPH18" s="16"/>
      <c r="LPW18" s="16"/>
      <c r="LQL18" s="16"/>
      <c r="LRA18" s="16"/>
      <c r="LRP18" s="16"/>
      <c r="LSE18" s="16"/>
      <c r="LST18" s="16"/>
      <c r="LTI18" s="16"/>
      <c r="LTX18" s="16"/>
      <c r="LUM18" s="16"/>
      <c r="LVB18" s="16"/>
      <c r="LVQ18" s="16"/>
      <c r="LWF18" s="16"/>
      <c r="LWU18" s="16"/>
      <c r="LXJ18" s="16"/>
      <c r="LXY18" s="16"/>
      <c r="LYN18" s="16"/>
      <c r="LZC18" s="16"/>
      <c r="LZR18" s="16"/>
      <c r="MAG18" s="16"/>
      <c r="MAV18" s="16"/>
      <c r="MBK18" s="16"/>
      <c r="MBZ18" s="16"/>
      <c r="MCO18" s="16"/>
      <c r="MDD18" s="16"/>
      <c r="MDS18" s="16"/>
      <c r="MEH18" s="16"/>
      <c r="MEW18" s="16"/>
      <c r="MFL18" s="16"/>
      <c r="MGA18" s="16"/>
      <c r="MGP18" s="16"/>
      <c r="MHE18" s="16"/>
      <c r="MHT18" s="16"/>
      <c r="MII18" s="16"/>
      <c r="MIX18" s="16"/>
      <c r="MJM18" s="16"/>
      <c r="MKB18" s="16"/>
      <c r="MKQ18" s="16"/>
      <c r="MLF18" s="16"/>
      <c r="MLU18" s="16"/>
      <c r="MMJ18" s="16"/>
      <c r="MMY18" s="16"/>
      <c r="MNN18" s="16"/>
      <c r="MOC18" s="16"/>
      <c r="MOR18" s="16"/>
      <c r="MPG18" s="16"/>
      <c r="MPV18" s="16"/>
      <c r="MQK18" s="16"/>
      <c r="MQZ18" s="16"/>
      <c r="MRO18" s="16"/>
      <c r="MSD18" s="16"/>
      <c r="MSS18" s="16"/>
      <c r="MTH18" s="16"/>
      <c r="MTW18" s="16"/>
      <c r="MUL18" s="16"/>
      <c r="MVA18" s="16"/>
      <c r="MVP18" s="16"/>
      <c r="MWE18" s="16"/>
      <c r="MWT18" s="16"/>
      <c r="MXI18" s="16"/>
      <c r="MXX18" s="16"/>
      <c r="MYM18" s="16"/>
      <c r="MZB18" s="16"/>
      <c r="MZQ18" s="16"/>
      <c r="NAF18" s="16"/>
      <c r="NAU18" s="16"/>
      <c r="NBJ18" s="16"/>
      <c r="NBY18" s="16"/>
      <c r="NCN18" s="16"/>
      <c r="NDC18" s="16"/>
      <c r="NDR18" s="16"/>
      <c r="NEG18" s="16"/>
      <c r="NEV18" s="16"/>
      <c r="NFK18" s="16"/>
      <c r="NFZ18" s="16"/>
      <c r="NGO18" s="16"/>
      <c r="NHD18" s="16"/>
      <c r="NHS18" s="16"/>
      <c r="NIH18" s="16"/>
      <c r="NIW18" s="16"/>
      <c r="NJL18" s="16"/>
      <c r="NKA18" s="16"/>
      <c r="NKP18" s="16"/>
      <c r="NLE18" s="16"/>
      <c r="NLT18" s="16"/>
      <c r="NMI18" s="16"/>
      <c r="NMX18" s="16"/>
      <c r="NNM18" s="16"/>
      <c r="NOB18" s="16"/>
      <c r="NOQ18" s="16"/>
      <c r="NPF18" s="16"/>
      <c r="NPU18" s="16"/>
      <c r="NQJ18" s="16"/>
      <c r="NQY18" s="16"/>
      <c r="NRN18" s="16"/>
      <c r="NSC18" s="16"/>
      <c r="NSR18" s="16"/>
      <c r="NTG18" s="16"/>
      <c r="NTV18" s="16"/>
      <c r="NUK18" s="16"/>
      <c r="NUZ18" s="16"/>
      <c r="NVO18" s="16"/>
      <c r="NWD18" s="16"/>
      <c r="NWS18" s="16"/>
      <c r="NXH18" s="16"/>
      <c r="NXW18" s="16"/>
      <c r="NYL18" s="16"/>
      <c r="NZA18" s="16"/>
      <c r="NZP18" s="16"/>
      <c r="OAE18" s="16"/>
      <c r="OAT18" s="16"/>
      <c r="OBI18" s="16"/>
      <c r="OBX18" s="16"/>
      <c r="OCM18" s="16"/>
      <c r="ODB18" s="16"/>
      <c r="ODQ18" s="16"/>
      <c r="OEF18" s="16"/>
      <c r="OEU18" s="16"/>
      <c r="OFJ18" s="16"/>
      <c r="OFY18" s="16"/>
      <c r="OGN18" s="16"/>
      <c r="OHC18" s="16"/>
      <c r="OHR18" s="16"/>
      <c r="OIG18" s="16"/>
      <c r="OIV18" s="16"/>
      <c r="OJK18" s="16"/>
      <c r="OJZ18" s="16"/>
      <c r="OKO18" s="16"/>
      <c r="OLD18" s="16"/>
      <c r="OLS18" s="16"/>
      <c r="OMH18" s="16"/>
      <c r="OMW18" s="16"/>
      <c r="ONL18" s="16"/>
      <c r="OOA18" s="16"/>
      <c r="OOP18" s="16"/>
      <c r="OPE18" s="16"/>
      <c r="OPT18" s="16"/>
      <c r="OQI18" s="16"/>
      <c r="OQX18" s="16"/>
      <c r="ORM18" s="16"/>
      <c r="OSB18" s="16"/>
      <c r="OSQ18" s="16"/>
      <c r="OTF18" s="16"/>
      <c r="OTU18" s="16"/>
      <c r="OUJ18" s="16"/>
      <c r="OUY18" s="16"/>
      <c r="OVN18" s="16"/>
      <c r="OWC18" s="16"/>
      <c r="OWR18" s="16"/>
      <c r="OXG18" s="16"/>
      <c r="OXV18" s="16"/>
      <c r="OYK18" s="16"/>
      <c r="OYZ18" s="16"/>
      <c r="OZO18" s="16"/>
      <c r="PAD18" s="16"/>
      <c r="PAS18" s="16"/>
      <c r="PBH18" s="16"/>
      <c r="PBW18" s="16"/>
      <c r="PCL18" s="16"/>
      <c r="PDA18" s="16"/>
      <c r="PDP18" s="16"/>
      <c r="PEE18" s="16"/>
      <c r="PET18" s="16"/>
      <c r="PFI18" s="16"/>
      <c r="PFX18" s="16"/>
      <c r="PGM18" s="16"/>
      <c r="PHB18" s="16"/>
      <c r="PHQ18" s="16"/>
      <c r="PIF18" s="16"/>
      <c r="PIU18" s="16"/>
      <c r="PJJ18" s="16"/>
      <c r="PJY18" s="16"/>
      <c r="PKN18" s="16"/>
      <c r="PLC18" s="16"/>
      <c r="PLR18" s="16"/>
      <c r="PMG18" s="16"/>
      <c r="PMV18" s="16"/>
      <c r="PNK18" s="16"/>
      <c r="PNZ18" s="16"/>
      <c r="POO18" s="16"/>
      <c r="PPD18" s="16"/>
      <c r="PPS18" s="16"/>
      <c r="PQH18" s="16"/>
      <c r="PQW18" s="16"/>
      <c r="PRL18" s="16"/>
      <c r="PSA18" s="16"/>
      <c r="PSP18" s="16"/>
      <c r="PTE18" s="16"/>
      <c r="PTT18" s="16"/>
      <c r="PUI18" s="16"/>
      <c r="PUX18" s="16"/>
      <c r="PVM18" s="16"/>
      <c r="PWB18" s="16"/>
      <c r="PWQ18" s="16"/>
      <c r="PXF18" s="16"/>
      <c r="PXU18" s="16"/>
      <c r="PYJ18" s="16"/>
      <c r="PYY18" s="16"/>
      <c r="PZN18" s="16"/>
      <c r="QAC18" s="16"/>
      <c r="QAR18" s="16"/>
      <c r="QBG18" s="16"/>
      <c r="QBV18" s="16"/>
      <c r="QCK18" s="16"/>
      <c r="QCZ18" s="16"/>
      <c r="QDO18" s="16"/>
      <c r="QED18" s="16"/>
      <c r="QES18" s="16"/>
      <c r="QFH18" s="16"/>
      <c r="QFW18" s="16"/>
      <c r="QGL18" s="16"/>
      <c r="QHA18" s="16"/>
      <c r="QHP18" s="16"/>
      <c r="QIE18" s="16"/>
      <c r="QIT18" s="16"/>
      <c r="QJI18" s="16"/>
      <c r="QJX18" s="16"/>
      <c r="QKM18" s="16"/>
      <c r="QLB18" s="16"/>
      <c r="QLQ18" s="16"/>
      <c r="QMF18" s="16"/>
      <c r="QMU18" s="16"/>
      <c r="QNJ18" s="16"/>
      <c r="QNY18" s="16"/>
      <c r="QON18" s="16"/>
      <c r="QPC18" s="16"/>
      <c r="QPR18" s="16"/>
      <c r="QQG18" s="16"/>
      <c r="QQV18" s="16"/>
      <c r="QRK18" s="16"/>
      <c r="QRZ18" s="16"/>
      <c r="QSO18" s="16"/>
      <c r="QTD18" s="16"/>
      <c r="QTS18" s="16"/>
      <c r="QUH18" s="16"/>
      <c r="QUW18" s="16"/>
      <c r="QVL18" s="16"/>
      <c r="QWA18" s="16"/>
      <c r="QWP18" s="16"/>
      <c r="QXE18" s="16"/>
      <c r="QXT18" s="16"/>
      <c r="QYI18" s="16"/>
      <c r="QYX18" s="16"/>
      <c r="QZM18" s="16"/>
      <c r="RAB18" s="16"/>
      <c r="RAQ18" s="16"/>
      <c r="RBF18" s="16"/>
      <c r="RBU18" s="16"/>
      <c r="RCJ18" s="16"/>
      <c r="RCY18" s="16"/>
      <c r="RDN18" s="16"/>
      <c r="REC18" s="16"/>
      <c r="RER18" s="16"/>
      <c r="RFG18" s="16"/>
      <c r="RFV18" s="16"/>
      <c r="RGK18" s="16"/>
      <c r="RGZ18" s="16"/>
      <c r="RHO18" s="16"/>
      <c r="RID18" s="16"/>
      <c r="RIS18" s="16"/>
      <c r="RJH18" s="16"/>
      <c r="RJW18" s="16"/>
      <c r="RKL18" s="16"/>
      <c r="RLA18" s="16"/>
      <c r="RLP18" s="16"/>
      <c r="RME18" s="16"/>
      <c r="RMT18" s="16"/>
      <c r="RNI18" s="16"/>
      <c r="RNX18" s="16"/>
      <c r="ROM18" s="16"/>
      <c r="RPB18" s="16"/>
      <c r="RPQ18" s="16"/>
      <c r="RQF18" s="16"/>
      <c r="RQU18" s="16"/>
      <c r="RRJ18" s="16"/>
      <c r="RRY18" s="16"/>
      <c r="RSN18" s="16"/>
      <c r="RTC18" s="16"/>
      <c r="RTR18" s="16"/>
      <c r="RUG18" s="16"/>
      <c r="RUV18" s="16"/>
      <c r="RVK18" s="16"/>
      <c r="RVZ18" s="16"/>
      <c r="RWO18" s="16"/>
      <c r="RXD18" s="16"/>
      <c r="RXS18" s="16"/>
      <c r="RYH18" s="16"/>
      <c r="RYW18" s="16"/>
      <c r="RZL18" s="16"/>
      <c r="SAA18" s="16"/>
      <c r="SAP18" s="16"/>
      <c r="SBE18" s="16"/>
      <c r="SBT18" s="16"/>
      <c r="SCI18" s="16"/>
      <c r="SCX18" s="16"/>
      <c r="SDM18" s="16"/>
      <c r="SEB18" s="16"/>
      <c r="SEQ18" s="16"/>
      <c r="SFF18" s="16"/>
      <c r="SFU18" s="16"/>
      <c r="SGJ18" s="16"/>
      <c r="SGY18" s="16"/>
      <c r="SHN18" s="16"/>
      <c r="SIC18" s="16"/>
      <c r="SIR18" s="16"/>
      <c r="SJG18" s="16"/>
      <c r="SJV18" s="16"/>
      <c r="SKK18" s="16"/>
      <c r="SKZ18" s="16"/>
      <c r="SLO18" s="16"/>
      <c r="SMD18" s="16"/>
      <c r="SMS18" s="16"/>
      <c r="SNH18" s="16"/>
      <c r="SNW18" s="16"/>
      <c r="SOL18" s="16"/>
      <c r="SPA18" s="16"/>
      <c r="SPP18" s="16"/>
      <c r="SQE18" s="16"/>
      <c r="SQT18" s="16"/>
      <c r="SRI18" s="16"/>
      <c r="SRX18" s="16"/>
      <c r="SSM18" s="16"/>
      <c r="STB18" s="16"/>
      <c r="STQ18" s="16"/>
      <c r="SUF18" s="16"/>
      <c r="SUU18" s="16"/>
      <c r="SVJ18" s="16"/>
      <c r="SVY18" s="16"/>
      <c r="SWN18" s="16"/>
      <c r="SXC18" s="16"/>
      <c r="SXR18" s="16"/>
      <c r="SYG18" s="16"/>
      <c r="SYV18" s="16"/>
      <c r="SZK18" s="16"/>
      <c r="SZZ18" s="16"/>
      <c r="TAO18" s="16"/>
      <c r="TBD18" s="16"/>
      <c r="TBS18" s="16"/>
      <c r="TCH18" s="16"/>
      <c r="TCW18" s="16"/>
      <c r="TDL18" s="16"/>
      <c r="TEA18" s="16"/>
      <c r="TEP18" s="16"/>
      <c r="TFE18" s="16"/>
      <c r="TFT18" s="16"/>
      <c r="TGI18" s="16"/>
      <c r="TGX18" s="16"/>
      <c r="THM18" s="16"/>
      <c r="TIB18" s="16"/>
      <c r="TIQ18" s="16"/>
      <c r="TJF18" s="16"/>
      <c r="TJU18" s="16"/>
      <c r="TKJ18" s="16"/>
      <c r="TKY18" s="16"/>
      <c r="TLN18" s="16"/>
      <c r="TMC18" s="16"/>
      <c r="TMR18" s="16"/>
      <c r="TNG18" s="16"/>
      <c r="TNV18" s="16"/>
      <c r="TOK18" s="16"/>
      <c r="TOZ18" s="16"/>
      <c r="TPO18" s="16"/>
      <c r="TQD18" s="16"/>
      <c r="TQS18" s="16"/>
      <c r="TRH18" s="16"/>
      <c r="TRW18" s="16"/>
      <c r="TSL18" s="16"/>
      <c r="TTA18" s="16"/>
      <c r="TTP18" s="16"/>
      <c r="TUE18" s="16"/>
      <c r="TUT18" s="16"/>
      <c r="TVI18" s="16"/>
      <c r="TVX18" s="16"/>
      <c r="TWM18" s="16"/>
      <c r="TXB18" s="16"/>
      <c r="TXQ18" s="16"/>
      <c r="TYF18" s="16"/>
      <c r="TYU18" s="16"/>
      <c r="TZJ18" s="16"/>
      <c r="TZY18" s="16"/>
      <c r="UAN18" s="16"/>
      <c r="UBC18" s="16"/>
      <c r="UBR18" s="16"/>
      <c r="UCG18" s="16"/>
      <c r="UCV18" s="16"/>
      <c r="UDK18" s="16"/>
      <c r="UDZ18" s="16"/>
      <c r="UEO18" s="16"/>
      <c r="UFD18" s="16"/>
      <c r="UFS18" s="16"/>
      <c r="UGH18" s="16"/>
      <c r="UGW18" s="16"/>
      <c r="UHL18" s="16"/>
      <c r="UIA18" s="16"/>
      <c r="UIP18" s="16"/>
      <c r="UJE18" s="16"/>
      <c r="UJT18" s="16"/>
      <c r="UKI18" s="16"/>
      <c r="UKX18" s="16"/>
      <c r="ULM18" s="16"/>
      <c r="UMB18" s="16"/>
      <c r="UMQ18" s="16"/>
      <c r="UNF18" s="16"/>
      <c r="UNU18" s="16"/>
      <c r="UOJ18" s="16"/>
      <c r="UOY18" s="16"/>
      <c r="UPN18" s="16"/>
      <c r="UQC18" s="16"/>
      <c r="UQR18" s="16"/>
      <c r="URG18" s="16"/>
      <c r="URV18" s="16"/>
      <c r="USK18" s="16"/>
      <c r="USZ18" s="16"/>
      <c r="UTO18" s="16"/>
      <c r="UUD18" s="16"/>
      <c r="UUS18" s="16"/>
      <c r="UVH18" s="16"/>
      <c r="UVW18" s="16"/>
      <c r="UWL18" s="16"/>
      <c r="UXA18" s="16"/>
      <c r="UXP18" s="16"/>
      <c r="UYE18" s="16"/>
      <c r="UYT18" s="16"/>
      <c r="UZI18" s="16"/>
      <c r="UZX18" s="16"/>
      <c r="VAM18" s="16"/>
      <c r="VBB18" s="16"/>
      <c r="VBQ18" s="16"/>
      <c r="VCF18" s="16"/>
      <c r="VCU18" s="16"/>
      <c r="VDJ18" s="16"/>
      <c r="VDY18" s="16"/>
      <c r="VEN18" s="16"/>
      <c r="VFC18" s="16"/>
      <c r="VFR18" s="16"/>
      <c r="VGG18" s="16"/>
      <c r="VGV18" s="16"/>
      <c r="VHK18" s="16"/>
      <c r="VHZ18" s="16"/>
      <c r="VIO18" s="16"/>
      <c r="VJD18" s="16"/>
      <c r="VJS18" s="16"/>
      <c r="VKH18" s="16"/>
      <c r="VKW18" s="16"/>
      <c r="VLL18" s="16"/>
      <c r="VMA18" s="16"/>
      <c r="VMP18" s="16"/>
      <c r="VNE18" s="16"/>
      <c r="VNT18" s="16"/>
      <c r="VOI18" s="16"/>
      <c r="VOX18" s="16"/>
      <c r="VPM18" s="16"/>
      <c r="VQB18" s="16"/>
      <c r="VQQ18" s="16"/>
      <c r="VRF18" s="16"/>
      <c r="VRU18" s="16"/>
      <c r="VSJ18" s="16"/>
      <c r="VSY18" s="16"/>
      <c r="VTN18" s="16"/>
      <c r="VUC18" s="16"/>
      <c r="VUR18" s="16"/>
      <c r="VVG18" s="16"/>
      <c r="VVV18" s="16"/>
      <c r="VWK18" s="16"/>
      <c r="VWZ18" s="16"/>
      <c r="VXO18" s="16"/>
      <c r="VYD18" s="16"/>
      <c r="VYS18" s="16"/>
      <c r="VZH18" s="16"/>
      <c r="VZW18" s="16"/>
      <c r="WAL18" s="16"/>
      <c r="WBA18" s="16"/>
      <c r="WBP18" s="16"/>
      <c r="WCE18" s="16"/>
      <c r="WCT18" s="16"/>
      <c r="WDI18" s="16"/>
      <c r="WDX18" s="16"/>
      <c r="WEM18" s="16"/>
      <c r="WFB18" s="16"/>
      <c r="WFQ18" s="16"/>
      <c r="WGF18" s="16"/>
      <c r="WGU18" s="16"/>
      <c r="WHJ18" s="16"/>
      <c r="WHY18" s="16"/>
      <c r="WIN18" s="16"/>
      <c r="WJC18" s="16"/>
      <c r="WJR18" s="16"/>
      <c r="WKG18" s="16"/>
      <c r="WKV18" s="16"/>
      <c r="WLK18" s="16"/>
      <c r="WLZ18" s="16"/>
      <c r="WMO18" s="16"/>
      <c r="WND18" s="16"/>
      <c r="WNS18" s="16"/>
      <c r="WOH18" s="16"/>
      <c r="WOW18" s="16"/>
      <c r="WPL18" s="16"/>
      <c r="WQA18" s="16"/>
      <c r="WQP18" s="16"/>
      <c r="WRE18" s="16"/>
      <c r="WRT18" s="16"/>
      <c r="WSI18" s="16"/>
      <c r="WSX18" s="16"/>
      <c r="WTM18" s="16"/>
      <c r="WUB18" s="16"/>
      <c r="WUQ18" s="16"/>
      <c r="WVF18" s="16"/>
      <c r="WVU18" s="16"/>
      <c r="WWJ18" s="16"/>
      <c r="WWY18" s="16"/>
      <c r="WXN18" s="16"/>
      <c r="WYC18" s="16"/>
      <c r="WYR18" s="16"/>
      <c r="WZG18" s="16"/>
      <c r="WZV18" s="16"/>
      <c r="XAK18" s="16"/>
      <c r="XAZ18" s="16"/>
      <c r="XBO18" s="16"/>
      <c r="XCD18" s="16"/>
      <c r="XCS18" s="16"/>
      <c r="XDH18" s="16"/>
      <c r="XDW18" s="16"/>
      <c r="XEL18" s="16"/>
      <c r="XFA18" s="16"/>
    </row>
    <row r="19" spans="1:1021 1036:2041 2056:3061 3076:4096 4111:5116 5131:6136 6151:7156 7171:8191 8206:9211 9226:10231 10246:11251 11266:12286 12301:13306 13321:14326 14341:15346 15361:16381" x14ac:dyDescent="0.3">
      <c r="A19" s="16">
        <v>40974</v>
      </c>
      <c r="B19" s="16">
        <v>40975</v>
      </c>
      <c r="C19" t="str">
        <v>Aaron Bergman</v>
      </c>
      <c r="D19" t="str">
        <v>Seattle</v>
      </c>
      <c r="E19" t="str">
        <v>Washington</v>
      </c>
      <c r="F19" t="str">
        <v>United States</v>
      </c>
      <c r="G19" t="str">
        <v>Western US</v>
      </c>
      <c r="H19" t="str">
        <v>USCA</v>
      </c>
      <c r="I19" t="str">
        <v>Furniture</v>
      </c>
      <c r="J19" t="str">
        <v>Consumer</v>
      </c>
      <c r="K19" t="str">
        <v>Chairs</v>
      </c>
      <c r="L19">
        <v>48.712000000000003</v>
      </c>
      <c r="M19">
        <v>1</v>
      </c>
      <c r="N19">
        <v>0.2</v>
      </c>
      <c r="O19">
        <v>5.4800999999999966</v>
      </c>
      <c r="P19" s="16"/>
      <c r="AE19" s="16"/>
      <c r="AT19" s="16"/>
      <c r="BI19" s="16"/>
      <c r="BX19" s="16"/>
      <c r="CM19" s="16"/>
      <c r="DB19" s="16"/>
      <c r="DQ19" s="16"/>
      <c r="EF19" s="16"/>
      <c r="EU19" s="16"/>
      <c r="FJ19" s="16"/>
      <c r="FY19" s="16"/>
      <c r="GN19" s="16"/>
      <c r="HC19" s="16"/>
      <c r="HR19" s="16"/>
      <c r="IG19" s="16"/>
      <c r="IV19" s="16"/>
      <c r="JK19" s="16"/>
      <c r="JZ19" s="16"/>
      <c r="KO19" s="16"/>
      <c r="LD19" s="16"/>
      <c r="LS19" s="16"/>
      <c r="MH19" s="16"/>
      <c r="MW19" s="16"/>
      <c r="NL19" s="16"/>
      <c r="OA19" s="16"/>
      <c r="OP19" s="16"/>
      <c r="PE19" s="16"/>
      <c r="PT19" s="16"/>
      <c r="QI19" s="16"/>
      <c r="QX19" s="16"/>
      <c r="RM19" s="16"/>
      <c r="SB19" s="16"/>
      <c r="SQ19" s="16"/>
      <c r="TF19" s="16"/>
      <c r="TU19" s="16"/>
      <c r="UJ19" s="16"/>
      <c r="UY19" s="16"/>
      <c r="VN19" s="16"/>
      <c r="WC19" s="16"/>
      <c r="WR19" s="16"/>
      <c r="XG19" s="16"/>
      <c r="XV19" s="16"/>
      <c r="YK19" s="16"/>
      <c r="YZ19" s="16"/>
      <c r="ZO19" s="16"/>
      <c r="AAD19" s="16"/>
      <c r="AAS19" s="16"/>
      <c r="ABH19" s="16"/>
      <c r="ABW19" s="16"/>
      <c r="ACL19" s="16"/>
      <c r="ADA19" s="16"/>
      <c r="ADP19" s="16"/>
      <c r="AEE19" s="16"/>
      <c r="AET19" s="16"/>
      <c r="AFI19" s="16"/>
      <c r="AFX19" s="16"/>
      <c r="AGM19" s="16"/>
      <c r="AHB19" s="16"/>
      <c r="AHQ19" s="16"/>
      <c r="AIF19" s="16"/>
      <c r="AIU19" s="16"/>
      <c r="AJJ19" s="16"/>
      <c r="AJY19" s="16"/>
      <c r="AKN19" s="16"/>
      <c r="ALC19" s="16"/>
      <c r="ALR19" s="16"/>
      <c r="AMG19" s="16"/>
      <c r="AMV19" s="16"/>
      <c r="ANK19" s="16"/>
      <c r="ANZ19" s="16"/>
      <c r="AOO19" s="16"/>
      <c r="APD19" s="16"/>
      <c r="APS19" s="16"/>
      <c r="AQH19" s="16"/>
      <c r="AQW19" s="16"/>
      <c r="ARL19" s="16"/>
      <c r="ASA19" s="16"/>
      <c r="ASP19" s="16"/>
      <c r="ATE19" s="16"/>
      <c r="ATT19" s="16"/>
      <c r="AUI19" s="16"/>
      <c r="AUX19" s="16"/>
      <c r="AVM19" s="16"/>
      <c r="AWB19" s="16"/>
      <c r="AWQ19" s="16"/>
      <c r="AXF19" s="16"/>
      <c r="AXU19" s="16"/>
      <c r="AYJ19" s="16"/>
      <c r="AYY19" s="16"/>
      <c r="AZN19" s="16"/>
      <c r="BAC19" s="16"/>
      <c r="BAR19" s="16"/>
      <c r="BBG19" s="16"/>
      <c r="BBV19" s="16"/>
      <c r="BCK19" s="16"/>
      <c r="BCZ19" s="16"/>
      <c r="BDO19" s="16"/>
      <c r="BED19" s="16"/>
      <c r="BES19" s="16"/>
      <c r="BFH19" s="16"/>
      <c r="BFW19" s="16"/>
      <c r="BGL19" s="16"/>
      <c r="BHA19" s="16"/>
      <c r="BHP19" s="16"/>
      <c r="BIE19" s="16"/>
      <c r="BIT19" s="16"/>
      <c r="BJI19" s="16"/>
      <c r="BJX19" s="16"/>
      <c r="BKM19" s="16"/>
      <c r="BLB19" s="16"/>
      <c r="BLQ19" s="16"/>
      <c r="BMF19" s="16"/>
      <c r="BMU19" s="16"/>
      <c r="BNJ19" s="16"/>
      <c r="BNY19" s="16"/>
      <c r="BON19" s="16"/>
      <c r="BPC19" s="16"/>
      <c r="BPR19" s="16"/>
      <c r="BQG19" s="16"/>
      <c r="BQV19" s="16"/>
      <c r="BRK19" s="16"/>
      <c r="BRZ19" s="16"/>
      <c r="BSO19" s="16"/>
      <c r="BTD19" s="16"/>
      <c r="BTS19" s="16"/>
      <c r="BUH19" s="16"/>
      <c r="BUW19" s="16"/>
      <c r="BVL19" s="16"/>
      <c r="BWA19" s="16"/>
      <c r="BWP19" s="16"/>
      <c r="BXE19" s="16"/>
      <c r="BXT19" s="16"/>
      <c r="BYI19" s="16"/>
      <c r="BYX19" s="16"/>
      <c r="BZM19" s="16"/>
      <c r="CAB19" s="16"/>
      <c r="CAQ19" s="16"/>
      <c r="CBF19" s="16"/>
      <c r="CBU19" s="16"/>
      <c r="CCJ19" s="16"/>
      <c r="CCY19" s="16"/>
      <c r="CDN19" s="16"/>
      <c r="CEC19" s="16"/>
      <c r="CER19" s="16"/>
      <c r="CFG19" s="16"/>
      <c r="CFV19" s="16"/>
      <c r="CGK19" s="16"/>
      <c r="CGZ19" s="16"/>
      <c r="CHO19" s="16"/>
      <c r="CID19" s="16"/>
      <c r="CIS19" s="16"/>
      <c r="CJH19" s="16"/>
      <c r="CJW19" s="16"/>
      <c r="CKL19" s="16"/>
      <c r="CLA19" s="16"/>
      <c r="CLP19" s="16"/>
      <c r="CME19" s="16"/>
      <c r="CMT19" s="16"/>
      <c r="CNI19" s="16"/>
      <c r="CNX19" s="16"/>
      <c r="COM19" s="16"/>
      <c r="CPB19" s="16"/>
      <c r="CPQ19" s="16"/>
      <c r="CQF19" s="16"/>
      <c r="CQU19" s="16"/>
      <c r="CRJ19" s="16"/>
      <c r="CRY19" s="16"/>
      <c r="CSN19" s="16"/>
      <c r="CTC19" s="16"/>
      <c r="CTR19" s="16"/>
      <c r="CUG19" s="16"/>
      <c r="CUV19" s="16"/>
      <c r="CVK19" s="16"/>
      <c r="CVZ19" s="16"/>
      <c r="CWO19" s="16"/>
      <c r="CXD19" s="16"/>
      <c r="CXS19" s="16"/>
      <c r="CYH19" s="16"/>
      <c r="CYW19" s="16"/>
      <c r="CZL19" s="16"/>
      <c r="DAA19" s="16"/>
      <c r="DAP19" s="16"/>
      <c r="DBE19" s="16"/>
      <c r="DBT19" s="16"/>
      <c r="DCI19" s="16"/>
      <c r="DCX19" s="16"/>
      <c r="DDM19" s="16"/>
      <c r="DEB19" s="16"/>
      <c r="DEQ19" s="16"/>
      <c r="DFF19" s="16"/>
      <c r="DFU19" s="16"/>
      <c r="DGJ19" s="16"/>
      <c r="DGY19" s="16"/>
      <c r="DHN19" s="16"/>
      <c r="DIC19" s="16"/>
      <c r="DIR19" s="16"/>
      <c r="DJG19" s="16"/>
      <c r="DJV19" s="16"/>
      <c r="DKK19" s="16"/>
      <c r="DKZ19" s="16"/>
      <c r="DLO19" s="16"/>
      <c r="DMD19" s="16"/>
      <c r="DMS19" s="16"/>
      <c r="DNH19" s="16"/>
      <c r="DNW19" s="16"/>
      <c r="DOL19" s="16"/>
      <c r="DPA19" s="16"/>
      <c r="DPP19" s="16"/>
      <c r="DQE19" s="16"/>
      <c r="DQT19" s="16"/>
      <c r="DRI19" s="16"/>
      <c r="DRX19" s="16"/>
      <c r="DSM19" s="16"/>
      <c r="DTB19" s="16"/>
      <c r="DTQ19" s="16"/>
      <c r="DUF19" s="16"/>
      <c r="DUU19" s="16"/>
      <c r="DVJ19" s="16"/>
      <c r="DVY19" s="16"/>
      <c r="DWN19" s="16"/>
      <c r="DXC19" s="16"/>
      <c r="DXR19" s="16"/>
      <c r="DYG19" s="16"/>
      <c r="DYV19" s="16"/>
      <c r="DZK19" s="16"/>
      <c r="DZZ19" s="16"/>
      <c r="EAO19" s="16"/>
      <c r="EBD19" s="16"/>
      <c r="EBS19" s="16"/>
      <c r="ECH19" s="16"/>
      <c r="ECW19" s="16"/>
      <c r="EDL19" s="16"/>
      <c r="EEA19" s="16"/>
      <c r="EEP19" s="16"/>
      <c r="EFE19" s="16"/>
      <c r="EFT19" s="16"/>
      <c r="EGI19" s="16"/>
      <c r="EGX19" s="16"/>
      <c r="EHM19" s="16"/>
      <c r="EIB19" s="16"/>
      <c r="EIQ19" s="16"/>
      <c r="EJF19" s="16"/>
      <c r="EJU19" s="16"/>
      <c r="EKJ19" s="16"/>
      <c r="EKY19" s="16"/>
      <c r="ELN19" s="16"/>
      <c r="EMC19" s="16"/>
      <c r="EMR19" s="16"/>
      <c r="ENG19" s="16"/>
      <c r="ENV19" s="16"/>
      <c r="EOK19" s="16"/>
      <c r="EOZ19" s="16"/>
      <c r="EPO19" s="16"/>
      <c r="EQD19" s="16"/>
      <c r="EQS19" s="16"/>
      <c r="ERH19" s="16"/>
      <c r="ERW19" s="16"/>
      <c r="ESL19" s="16"/>
      <c r="ETA19" s="16"/>
      <c r="ETP19" s="16"/>
      <c r="EUE19" s="16"/>
      <c r="EUT19" s="16"/>
      <c r="EVI19" s="16"/>
      <c r="EVX19" s="16"/>
      <c r="EWM19" s="16"/>
      <c r="EXB19" s="16"/>
      <c r="EXQ19" s="16"/>
      <c r="EYF19" s="16"/>
      <c r="EYU19" s="16"/>
      <c r="EZJ19" s="16"/>
      <c r="EZY19" s="16"/>
      <c r="FAN19" s="16"/>
      <c r="FBC19" s="16"/>
      <c r="FBR19" s="16"/>
      <c r="FCG19" s="16"/>
      <c r="FCV19" s="16"/>
      <c r="FDK19" s="16"/>
      <c r="FDZ19" s="16"/>
      <c r="FEO19" s="16"/>
      <c r="FFD19" s="16"/>
      <c r="FFS19" s="16"/>
      <c r="FGH19" s="16"/>
      <c r="FGW19" s="16"/>
      <c r="FHL19" s="16"/>
      <c r="FIA19" s="16"/>
      <c r="FIP19" s="16"/>
      <c r="FJE19" s="16"/>
      <c r="FJT19" s="16"/>
      <c r="FKI19" s="16"/>
      <c r="FKX19" s="16"/>
      <c r="FLM19" s="16"/>
      <c r="FMB19" s="16"/>
      <c r="FMQ19" s="16"/>
      <c r="FNF19" s="16"/>
      <c r="FNU19" s="16"/>
      <c r="FOJ19" s="16"/>
      <c r="FOY19" s="16"/>
      <c r="FPN19" s="16"/>
      <c r="FQC19" s="16"/>
      <c r="FQR19" s="16"/>
      <c r="FRG19" s="16"/>
      <c r="FRV19" s="16"/>
      <c r="FSK19" s="16"/>
      <c r="FSZ19" s="16"/>
      <c r="FTO19" s="16"/>
      <c r="FUD19" s="16"/>
      <c r="FUS19" s="16"/>
      <c r="FVH19" s="16"/>
      <c r="FVW19" s="16"/>
      <c r="FWL19" s="16"/>
      <c r="FXA19" s="16"/>
      <c r="FXP19" s="16"/>
      <c r="FYE19" s="16"/>
      <c r="FYT19" s="16"/>
      <c r="FZI19" s="16"/>
      <c r="FZX19" s="16"/>
      <c r="GAM19" s="16"/>
      <c r="GBB19" s="16"/>
      <c r="GBQ19" s="16"/>
      <c r="GCF19" s="16"/>
      <c r="GCU19" s="16"/>
      <c r="GDJ19" s="16"/>
      <c r="GDY19" s="16"/>
      <c r="GEN19" s="16"/>
      <c r="GFC19" s="16"/>
      <c r="GFR19" s="16"/>
      <c r="GGG19" s="16"/>
      <c r="GGV19" s="16"/>
      <c r="GHK19" s="16"/>
      <c r="GHZ19" s="16"/>
      <c r="GIO19" s="16"/>
      <c r="GJD19" s="16"/>
      <c r="GJS19" s="16"/>
      <c r="GKH19" s="16"/>
      <c r="GKW19" s="16"/>
      <c r="GLL19" s="16"/>
      <c r="GMA19" s="16"/>
      <c r="GMP19" s="16"/>
      <c r="GNE19" s="16"/>
      <c r="GNT19" s="16"/>
      <c r="GOI19" s="16"/>
      <c r="GOX19" s="16"/>
      <c r="GPM19" s="16"/>
      <c r="GQB19" s="16"/>
      <c r="GQQ19" s="16"/>
      <c r="GRF19" s="16"/>
      <c r="GRU19" s="16"/>
      <c r="GSJ19" s="16"/>
      <c r="GSY19" s="16"/>
      <c r="GTN19" s="16"/>
      <c r="GUC19" s="16"/>
      <c r="GUR19" s="16"/>
      <c r="GVG19" s="16"/>
      <c r="GVV19" s="16"/>
      <c r="GWK19" s="16"/>
      <c r="GWZ19" s="16"/>
      <c r="GXO19" s="16"/>
      <c r="GYD19" s="16"/>
      <c r="GYS19" s="16"/>
      <c r="GZH19" s="16"/>
      <c r="GZW19" s="16"/>
      <c r="HAL19" s="16"/>
      <c r="HBA19" s="16"/>
      <c r="HBP19" s="16"/>
      <c r="HCE19" s="16"/>
      <c r="HCT19" s="16"/>
      <c r="HDI19" s="16"/>
      <c r="HDX19" s="16"/>
      <c r="HEM19" s="16"/>
      <c r="HFB19" s="16"/>
      <c r="HFQ19" s="16"/>
      <c r="HGF19" s="16"/>
      <c r="HGU19" s="16"/>
      <c r="HHJ19" s="16"/>
      <c r="HHY19" s="16"/>
      <c r="HIN19" s="16"/>
      <c r="HJC19" s="16"/>
      <c r="HJR19" s="16"/>
      <c r="HKG19" s="16"/>
      <c r="HKV19" s="16"/>
      <c r="HLK19" s="16"/>
      <c r="HLZ19" s="16"/>
      <c r="HMO19" s="16"/>
      <c r="HND19" s="16"/>
      <c r="HNS19" s="16"/>
      <c r="HOH19" s="16"/>
      <c r="HOW19" s="16"/>
      <c r="HPL19" s="16"/>
      <c r="HQA19" s="16"/>
      <c r="HQP19" s="16"/>
      <c r="HRE19" s="16"/>
      <c r="HRT19" s="16"/>
      <c r="HSI19" s="16"/>
      <c r="HSX19" s="16"/>
      <c r="HTM19" s="16"/>
      <c r="HUB19" s="16"/>
      <c r="HUQ19" s="16"/>
      <c r="HVF19" s="16"/>
      <c r="HVU19" s="16"/>
      <c r="HWJ19" s="16"/>
      <c r="HWY19" s="16"/>
      <c r="HXN19" s="16"/>
      <c r="HYC19" s="16"/>
      <c r="HYR19" s="16"/>
      <c r="HZG19" s="16"/>
      <c r="HZV19" s="16"/>
      <c r="IAK19" s="16"/>
      <c r="IAZ19" s="16"/>
      <c r="IBO19" s="16"/>
      <c r="ICD19" s="16"/>
      <c r="ICS19" s="16"/>
      <c r="IDH19" s="16"/>
      <c r="IDW19" s="16"/>
      <c r="IEL19" s="16"/>
      <c r="IFA19" s="16"/>
      <c r="IFP19" s="16"/>
      <c r="IGE19" s="16"/>
      <c r="IGT19" s="16"/>
      <c r="IHI19" s="16"/>
      <c r="IHX19" s="16"/>
      <c r="IIM19" s="16"/>
      <c r="IJB19" s="16"/>
      <c r="IJQ19" s="16"/>
      <c r="IKF19" s="16"/>
      <c r="IKU19" s="16"/>
      <c r="ILJ19" s="16"/>
      <c r="ILY19" s="16"/>
      <c r="IMN19" s="16"/>
      <c r="INC19" s="16"/>
      <c r="INR19" s="16"/>
      <c r="IOG19" s="16"/>
      <c r="IOV19" s="16"/>
      <c r="IPK19" s="16"/>
      <c r="IPZ19" s="16"/>
      <c r="IQO19" s="16"/>
      <c r="IRD19" s="16"/>
      <c r="IRS19" s="16"/>
      <c r="ISH19" s="16"/>
      <c r="ISW19" s="16"/>
      <c r="ITL19" s="16"/>
      <c r="IUA19" s="16"/>
      <c r="IUP19" s="16"/>
      <c r="IVE19" s="16"/>
      <c r="IVT19" s="16"/>
      <c r="IWI19" s="16"/>
      <c r="IWX19" s="16"/>
      <c r="IXM19" s="16"/>
      <c r="IYB19" s="16"/>
      <c r="IYQ19" s="16"/>
      <c r="IZF19" s="16"/>
      <c r="IZU19" s="16"/>
      <c r="JAJ19" s="16"/>
      <c r="JAY19" s="16"/>
      <c r="JBN19" s="16"/>
      <c r="JCC19" s="16"/>
      <c r="JCR19" s="16"/>
      <c r="JDG19" s="16"/>
      <c r="JDV19" s="16"/>
      <c r="JEK19" s="16"/>
      <c r="JEZ19" s="16"/>
      <c r="JFO19" s="16"/>
      <c r="JGD19" s="16"/>
      <c r="JGS19" s="16"/>
      <c r="JHH19" s="16"/>
      <c r="JHW19" s="16"/>
      <c r="JIL19" s="16"/>
      <c r="JJA19" s="16"/>
      <c r="JJP19" s="16"/>
      <c r="JKE19" s="16"/>
      <c r="JKT19" s="16"/>
      <c r="JLI19" s="16"/>
      <c r="JLX19" s="16"/>
      <c r="JMM19" s="16"/>
      <c r="JNB19" s="16"/>
      <c r="JNQ19" s="16"/>
      <c r="JOF19" s="16"/>
      <c r="JOU19" s="16"/>
      <c r="JPJ19" s="16"/>
      <c r="JPY19" s="16"/>
      <c r="JQN19" s="16"/>
      <c r="JRC19" s="16"/>
      <c r="JRR19" s="16"/>
      <c r="JSG19" s="16"/>
      <c r="JSV19" s="16"/>
      <c r="JTK19" s="16"/>
      <c r="JTZ19" s="16"/>
      <c r="JUO19" s="16"/>
      <c r="JVD19" s="16"/>
      <c r="JVS19" s="16"/>
      <c r="JWH19" s="16"/>
      <c r="JWW19" s="16"/>
      <c r="JXL19" s="16"/>
      <c r="JYA19" s="16"/>
      <c r="JYP19" s="16"/>
      <c r="JZE19" s="16"/>
      <c r="JZT19" s="16"/>
      <c r="KAI19" s="16"/>
      <c r="KAX19" s="16"/>
      <c r="KBM19" s="16"/>
      <c r="KCB19" s="16"/>
      <c r="KCQ19" s="16"/>
      <c r="KDF19" s="16"/>
      <c r="KDU19" s="16"/>
      <c r="KEJ19" s="16"/>
      <c r="KEY19" s="16"/>
      <c r="KFN19" s="16"/>
      <c r="KGC19" s="16"/>
      <c r="KGR19" s="16"/>
      <c r="KHG19" s="16"/>
      <c r="KHV19" s="16"/>
      <c r="KIK19" s="16"/>
      <c r="KIZ19" s="16"/>
      <c r="KJO19" s="16"/>
      <c r="KKD19" s="16"/>
      <c r="KKS19" s="16"/>
      <c r="KLH19" s="16"/>
      <c r="KLW19" s="16"/>
      <c r="KML19" s="16"/>
      <c r="KNA19" s="16"/>
      <c r="KNP19" s="16"/>
      <c r="KOE19" s="16"/>
      <c r="KOT19" s="16"/>
      <c r="KPI19" s="16"/>
      <c r="KPX19" s="16"/>
      <c r="KQM19" s="16"/>
      <c r="KRB19" s="16"/>
      <c r="KRQ19" s="16"/>
      <c r="KSF19" s="16"/>
      <c r="KSU19" s="16"/>
      <c r="KTJ19" s="16"/>
      <c r="KTY19" s="16"/>
      <c r="KUN19" s="16"/>
      <c r="KVC19" s="16"/>
      <c r="KVR19" s="16"/>
      <c r="KWG19" s="16"/>
      <c r="KWV19" s="16"/>
      <c r="KXK19" s="16"/>
      <c r="KXZ19" s="16"/>
      <c r="KYO19" s="16"/>
      <c r="KZD19" s="16"/>
      <c r="KZS19" s="16"/>
      <c r="LAH19" s="16"/>
      <c r="LAW19" s="16"/>
      <c r="LBL19" s="16"/>
      <c r="LCA19" s="16"/>
      <c r="LCP19" s="16"/>
      <c r="LDE19" s="16"/>
      <c r="LDT19" s="16"/>
      <c r="LEI19" s="16"/>
      <c r="LEX19" s="16"/>
      <c r="LFM19" s="16"/>
      <c r="LGB19" s="16"/>
      <c r="LGQ19" s="16"/>
      <c r="LHF19" s="16"/>
      <c r="LHU19" s="16"/>
      <c r="LIJ19" s="16"/>
      <c r="LIY19" s="16"/>
      <c r="LJN19" s="16"/>
      <c r="LKC19" s="16"/>
      <c r="LKR19" s="16"/>
      <c r="LLG19" s="16"/>
      <c r="LLV19" s="16"/>
      <c r="LMK19" s="16"/>
      <c r="LMZ19" s="16"/>
      <c r="LNO19" s="16"/>
      <c r="LOD19" s="16"/>
      <c r="LOS19" s="16"/>
      <c r="LPH19" s="16"/>
      <c r="LPW19" s="16"/>
      <c r="LQL19" s="16"/>
      <c r="LRA19" s="16"/>
      <c r="LRP19" s="16"/>
      <c r="LSE19" s="16"/>
      <c r="LST19" s="16"/>
      <c r="LTI19" s="16"/>
      <c r="LTX19" s="16"/>
      <c r="LUM19" s="16"/>
      <c r="LVB19" s="16"/>
      <c r="LVQ19" s="16"/>
      <c r="LWF19" s="16"/>
      <c r="LWU19" s="16"/>
      <c r="LXJ19" s="16"/>
      <c r="LXY19" s="16"/>
      <c r="LYN19" s="16"/>
      <c r="LZC19" s="16"/>
      <c r="LZR19" s="16"/>
      <c r="MAG19" s="16"/>
      <c r="MAV19" s="16"/>
      <c r="MBK19" s="16"/>
      <c r="MBZ19" s="16"/>
      <c r="MCO19" s="16"/>
      <c r="MDD19" s="16"/>
      <c r="MDS19" s="16"/>
      <c r="MEH19" s="16"/>
      <c r="MEW19" s="16"/>
      <c r="MFL19" s="16"/>
      <c r="MGA19" s="16"/>
      <c r="MGP19" s="16"/>
      <c r="MHE19" s="16"/>
      <c r="MHT19" s="16"/>
      <c r="MII19" s="16"/>
      <c r="MIX19" s="16"/>
      <c r="MJM19" s="16"/>
      <c r="MKB19" s="16"/>
      <c r="MKQ19" s="16"/>
      <c r="MLF19" s="16"/>
      <c r="MLU19" s="16"/>
      <c r="MMJ19" s="16"/>
      <c r="MMY19" s="16"/>
      <c r="MNN19" s="16"/>
      <c r="MOC19" s="16"/>
      <c r="MOR19" s="16"/>
      <c r="MPG19" s="16"/>
      <c r="MPV19" s="16"/>
      <c r="MQK19" s="16"/>
      <c r="MQZ19" s="16"/>
      <c r="MRO19" s="16"/>
      <c r="MSD19" s="16"/>
      <c r="MSS19" s="16"/>
      <c r="MTH19" s="16"/>
      <c r="MTW19" s="16"/>
      <c r="MUL19" s="16"/>
      <c r="MVA19" s="16"/>
      <c r="MVP19" s="16"/>
      <c r="MWE19" s="16"/>
      <c r="MWT19" s="16"/>
      <c r="MXI19" s="16"/>
      <c r="MXX19" s="16"/>
      <c r="MYM19" s="16"/>
      <c r="MZB19" s="16"/>
      <c r="MZQ19" s="16"/>
      <c r="NAF19" s="16"/>
      <c r="NAU19" s="16"/>
      <c r="NBJ19" s="16"/>
      <c r="NBY19" s="16"/>
      <c r="NCN19" s="16"/>
      <c r="NDC19" s="16"/>
      <c r="NDR19" s="16"/>
      <c r="NEG19" s="16"/>
      <c r="NEV19" s="16"/>
      <c r="NFK19" s="16"/>
      <c r="NFZ19" s="16"/>
      <c r="NGO19" s="16"/>
      <c r="NHD19" s="16"/>
      <c r="NHS19" s="16"/>
      <c r="NIH19" s="16"/>
      <c r="NIW19" s="16"/>
      <c r="NJL19" s="16"/>
      <c r="NKA19" s="16"/>
      <c r="NKP19" s="16"/>
      <c r="NLE19" s="16"/>
      <c r="NLT19" s="16"/>
      <c r="NMI19" s="16"/>
      <c r="NMX19" s="16"/>
      <c r="NNM19" s="16"/>
      <c r="NOB19" s="16"/>
      <c r="NOQ19" s="16"/>
      <c r="NPF19" s="16"/>
      <c r="NPU19" s="16"/>
      <c r="NQJ19" s="16"/>
      <c r="NQY19" s="16"/>
      <c r="NRN19" s="16"/>
      <c r="NSC19" s="16"/>
      <c r="NSR19" s="16"/>
      <c r="NTG19" s="16"/>
      <c r="NTV19" s="16"/>
      <c r="NUK19" s="16"/>
      <c r="NUZ19" s="16"/>
      <c r="NVO19" s="16"/>
      <c r="NWD19" s="16"/>
      <c r="NWS19" s="16"/>
      <c r="NXH19" s="16"/>
      <c r="NXW19" s="16"/>
      <c r="NYL19" s="16"/>
      <c r="NZA19" s="16"/>
      <c r="NZP19" s="16"/>
      <c r="OAE19" s="16"/>
      <c r="OAT19" s="16"/>
      <c r="OBI19" s="16"/>
      <c r="OBX19" s="16"/>
      <c r="OCM19" s="16"/>
      <c r="ODB19" s="16"/>
      <c r="ODQ19" s="16"/>
      <c r="OEF19" s="16"/>
      <c r="OEU19" s="16"/>
      <c r="OFJ19" s="16"/>
      <c r="OFY19" s="16"/>
      <c r="OGN19" s="16"/>
      <c r="OHC19" s="16"/>
      <c r="OHR19" s="16"/>
      <c r="OIG19" s="16"/>
      <c r="OIV19" s="16"/>
      <c r="OJK19" s="16"/>
      <c r="OJZ19" s="16"/>
      <c r="OKO19" s="16"/>
      <c r="OLD19" s="16"/>
      <c r="OLS19" s="16"/>
      <c r="OMH19" s="16"/>
      <c r="OMW19" s="16"/>
      <c r="ONL19" s="16"/>
      <c r="OOA19" s="16"/>
      <c r="OOP19" s="16"/>
      <c r="OPE19" s="16"/>
      <c r="OPT19" s="16"/>
      <c r="OQI19" s="16"/>
      <c r="OQX19" s="16"/>
      <c r="ORM19" s="16"/>
      <c r="OSB19" s="16"/>
      <c r="OSQ19" s="16"/>
      <c r="OTF19" s="16"/>
      <c r="OTU19" s="16"/>
      <c r="OUJ19" s="16"/>
      <c r="OUY19" s="16"/>
      <c r="OVN19" s="16"/>
      <c r="OWC19" s="16"/>
      <c r="OWR19" s="16"/>
      <c r="OXG19" s="16"/>
      <c r="OXV19" s="16"/>
      <c r="OYK19" s="16"/>
      <c r="OYZ19" s="16"/>
      <c r="OZO19" s="16"/>
      <c r="PAD19" s="16"/>
      <c r="PAS19" s="16"/>
      <c r="PBH19" s="16"/>
      <c r="PBW19" s="16"/>
      <c r="PCL19" s="16"/>
      <c r="PDA19" s="16"/>
      <c r="PDP19" s="16"/>
      <c r="PEE19" s="16"/>
      <c r="PET19" s="16"/>
      <c r="PFI19" s="16"/>
      <c r="PFX19" s="16"/>
      <c r="PGM19" s="16"/>
      <c r="PHB19" s="16"/>
      <c r="PHQ19" s="16"/>
      <c r="PIF19" s="16"/>
      <c r="PIU19" s="16"/>
      <c r="PJJ19" s="16"/>
      <c r="PJY19" s="16"/>
      <c r="PKN19" s="16"/>
      <c r="PLC19" s="16"/>
      <c r="PLR19" s="16"/>
      <c r="PMG19" s="16"/>
      <c r="PMV19" s="16"/>
      <c r="PNK19" s="16"/>
      <c r="PNZ19" s="16"/>
      <c r="POO19" s="16"/>
      <c r="PPD19" s="16"/>
      <c r="PPS19" s="16"/>
      <c r="PQH19" s="16"/>
      <c r="PQW19" s="16"/>
      <c r="PRL19" s="16"/>
      <c r="PSA19" s="16"/>
      <c r="PSP19" s="16"/>
      <c r="PTE19" s="16"/>
      <c r="PTT19" s="16"/>
      <c r="PUI19" s="16"/>
      <c r="PUX19" s="16"/>
      <c r="PVM19" s="16"/>
      <c r="PWB19" s="16"/>
      <c r="PWQ19" s="16"/>
      <c r="PXF19" s="16"/>
      <c r="PXU19" s="16"/>
      <c r="PYJ19" s="16"/>
      <c r="PYY19" s="16"/>
      <c r="PZN19" s="16"/>
      <c r="QAC19" s="16"/>
      <c r="QAR19" s="16"/>
      <c r="QBG19" s="16"/>
      <c r="QBV19" s="16"/>
      <c r="QCK19" s="16"/>
      <c r="QCZ19" s="16"/>
      <c r="QDO19" s="16"/>
      <c r="QED19" s="16"/>
      <c r="QES19" s="16"/>
      <c r="QFH19" s="16"/>
      <c r="QFW19" s="16"/>
      <c r="QGL19" s="16"/>
      <c r="QHA19" s="16"/>
      <c r="QHP19" s="16"/>
      <c r="QIE19" s="16"/>
      <c r="QIT19" s="16"/>
      <c r="QJI19" s="16"/>
      <c r="QJX19" s="16"/>
      <c r="QKM19" s="16"/>
      <c r="QLB19" s="16"/>
      <c r="QLQ19" s="16"/>
      <c r="QMF19" s="16"/>
      <c r="QMU19" s="16"/>
      <c r="QNJ19" s="16"/>
      <c r="QNY19" s="16"/>
      <c r="QON19" s="16"/>
      <c r="QPC19" s="16"/>
      <c r="QPR19" s="16"/>
      <c r="QQG19" s="16"/>
      <c r="QQV19" s="16"/>
      <c r="QRK19" s="16"/>
      <c r="QRZ19" s="16"/>
      <c r="QSO19" s="16"/>
      <c r="QTD19" s="16"/>
      <c r="QTS19" s="16"/>
      <c r="QUH19" s="16"/>
      <c r="QUW19" s="16"/>
      <c r="QVL19" s="16"/>
      <c r="QWA19" s="16"/>
      <c r="QWP19" s="16"/>
      <c r="QXE19" s="16"/>
      <c r="QXT19" s="16"/>
      <c r="QYI19" s="16"/>
      <c r="QYX19" s="16"/>
      <c r="QZM19" s="16"/>
      <c r="RAB19" s="16"/>
      <c r="RAQ19" s="16"/>
      <c r="RBF19" s="16"/>
      <c r="RBU19" s="16"/>
      <c r="RCJ19" s="16"/>
      <c r="RCY19" s="16"/>
      <c r="RDN19" s="16"/>
      <c r="REC19" s="16"/>
      <c r="RER19" s="16"/>
      <c r="RFG19" s="16"/>
      <c r="RFV19" s="16"/>
      <c r="RGK19" s="16"/>
      <c r="RGZ19" s="16"/>
      <c r="RHO19" s="16"/>
      <c r="RID19" s="16"/>
      <c r="RIS19" s="16"/>
      <c r="RJH19" s="16"/>
      <c r="RJW19" s="16"/>
      <c r="RKL19" s="16"/>
      <c r="RLA19" s="16"/>
      <c r="RLP19" s="16"/>
      <c r="RME19" s="16"/>
      <c r="RMT19" s="16"/>
      <c r="RNI19" s="16"/>
      <c r="RNX19" s="16"/>
      <c r="ROM19" s="16"/>
      <c r="RPB19" s="16"/>
      <c r="RPQ19" s="16"/>
      <c r="RQF19" s="16"/>
      <c r="RQU19" s="16"/>
      <c r="RRJ19" s="16"/>
      <c r="RRY19" s="16"/>
      <c r="RSN19" s="16"/>
      <c r="RTC19" s="16"/>
      <c r="RTR19" s="16"/>
      <c r="RUG19" s="16"/>
      <c r="RUV19" s="16"/>
      <c r="RVK19" s="16"/>
      <c r="RVZ19" s="16"/>
      <c r="RWO19" s="16"/>
      <c r="RXD19" s="16"/>
      <c r="RXS19" s="16"/>
      <c r="RYH19" s="16"/>
      <c r="RYW19" s="16"/>
      <c r="RZL19" s="16"/>
      <c r="SAA19" s="16"/>
      <c r="SAP19" s="16"/>
      <c r="SBE19" s="16"/>
      <c r="SBT19" s="16"/>
      <c r="SCI19" s="16"/>
      <c r="SCX19" s="16"/>
      <c r="SDM19" s="16"/>
      <c r="SEB19" s="16"/>
      <c r="SEQ19" s="16"/>
      <c r="SFF19" s="16"/>
      <c r="SFU19" s="16"/>
      <c r="SGJ19" s="16"/>
      <c r="SGY19" s="16"/>
      <c r="SHN19" s="16"/>
      <c r="SIC19" s="16"/>
      <c r="SIR19" s="16"/>
      <c r="SJG19" s="16"/>
      <c r="SJV19" s="16"/>
      <c r="SKK19" s="16"/>
      <c r="SKZ19" s="16"/>
      <c r="SLO19" s="16"/>
      <c r="SMD19" s="16"/>
      <c r="SMS19" s="16"/>
      <c r="SNH19" s="16"/>
      <c r="SNW19" s="16"/>
      <c r="SOL19" s="16"/>
      <c r="SPA19" s="16"/>
      <c r="SPP19" s="16"/>
      <c r="SQE19" s="16"/>
      <c r="SQT19" s="16"/>
      <c r="SRI19" s="16"/>
      <c r="SRX19" s="16"/>
      <c r="SSM19" s="16"/>
      <c r="STB19" s="16"/>
      <c r="STQ19" s="16"/>
      <c r="SUF19" s="16"/>
      <c r="SUU19" s="16"/>
      <c r="SVJ19" s="16"/>
      <c r="SVY19" s="16"/>
      <c r="SWN19" s="16"/>
      <c r="SXC19" s="16"/>
      <c r="SXR19" s="16"/>
      <c r="SYG19" s="16"/>
      <c r="SYV19" s="16"/>
      <c r="SZK19" s="16"/>
      <c r="SZZ19" s="16"/>
      <c r="TAO19" s="16"/>
      <c r="TBD19" s="16"/>
      <c r="TBS19" s="16"/>
      <c r="TCH19" s="16"/>
      <c r="TCW19" s="16"/>
      <c r="TDL19" s="16"/>
      <c r="TEA19" s="16"/>
      <c r="TEP19" s="16"/>
      <c r="TFE19" s="16"/>
      <c r="TFT19" s="16"/>
      <c r="TGI19" s="16"/>
      <c r="TGX19" s="16"/>
      <c r="THM19" s="16"/>
      <c r="TIB19" s="16"/>
      <c r="TIQ19" s="16"/>
      <c r="TJF19" s="16"/>
      <c r="TJU19" s="16"/>
      <c r="TKJ19" s="16"/>
      <c r="TKY19" s="16"/>
      <c r="TLN19" s="16"/>
      <c r="TMC19" s="16"/>
      <c r="TMR19" s="16"/>
      <c r="TNG19" s="16"/>
      <c r="TNV19" s="16"/>
      <c r="TOK19" s="16"/>
      <c r="TOZ19" s="16"/>
      <c r="TPO19" s="16"/>
      <c r="TQD19" s="16"/>
      <c r="TQS19" s="16"/>
      <c r="TRH19" s="16"/>
      <c r="TRW19" s="16"/>
      <c r="TSL19" s="16"/>
      <c r="TTA19" s="16"/>
      <c r="TTP19" s="16"/>
      <c r="TUE19" s="16"/>
      <c r="TUT19" s="16"/>
      <c r="TVI19" s="16"/>
      <c r="TVX19" s="16"/>
      <c r="TWM19" s="16"/>
      <c r="TXB19" s="16"/>
      <c r="TXQ19" s="16"/>
      <c r="TYF19" s="16"/>
      <c r="TYU19" s="16"/>
      <c r="TZJ19" s="16"/>
      <c r="TZY19" s="16"/>
      <c r="UAN19" s="16"/>
      <c r="UBC19" s="16"/>
      <c r="UBR19" s="16"/>
      <c r="UCG19" s="16"/>
      <c r="UCV19" s="16"/>
      <c r="UDK19" s="16"/>
      <c r="UDZ19" s="16"/>
      <c r="UEO19" s="16"/>
      <c r="UFD19" s="16"/>
      <c r="UFS19" s="16"/>
      <c r="UGH19" s="16"/>
      <c r="UGW19" s="16"/>
      <c r="UHL19" s="16"/>
      <c r="UIA19" s="16"/>
      <c r="UIP19" s="16"/>
      <c r="UJE19" s="16"/>
      <c r="UJT19" s="16"/>
      <c r="UKI19" s="16"/>
      <c r="UKX19" s="16"/>
      <c r="ULM19" s="16"/>
      <c r="UMB19" s="16"/>
      <c r="UMQ19" s="16"/>
      <c r="UNF19" s="16"/>
      <c r="UNU19" s="16"/>
      <c r="UOJ19" s="16"/>
      <c r="UOY19" s="16"/>
      <c r="UPN19" s="16"/>
      <c r="UQC19" s="16"/>
      <c r="UQR19" s="16"/>
      <c r="URG19" s="16"/>
      <c r="URV19" s="16"/>
      <c r="USK19" s="16"/>
      <c r="USZ19" s="16"/>
      <c r="UTO19" s="16"/>
      <c r="UUD19" s="16"/>
      <c r="UUS19" s="16"/>
      <c r="UVH19" s="16"/>
      <c r="UVW19" s="16"/>
      <c r="UWL19" s="16"/>
      <c r="UXA19" s="16"/>
      <c r="UXP19" s="16"/>
      <c r="UYE19" s="16"/>
      <c r="UYT19" s="16"/>
      <c r="UZI19" s="16"/>
      <c r="UZX19" s="16"/>
      <c r="VAM19" s="16"/>
      <c r="VBB19" s="16"/>
      <c r="VBQ19" s="16"/>
      <c r="VCF19" s="16"/>
      <c r="VCU19" s="16"/>
      <c r="VDJ19" s="16"/>
      <c r="VDY19" s="16"/>
      <c r="VEN19" s="16"/>
      <c r="VFC19" s="16"/>
      <c r="VFR19" s="16"/>
      <c r="VGG19" s="16"/>
      <c r="VGV19" s="16"/>
      <c r="VHK19" s="16"/>
      <c r="VHZ19" s="16"/>
      <c r="VIO19" s="16"/>
      <c r="VJD19" s="16"/>
      <c r="VJS19" s="16"/>
      <c r="VKH19" s="16"/>
      <c r="VKW19" s="16"/>
      <c r="VLL19" s="16"/>
      <c r="VMA19" s="16"/>
      <c r="VMP19" s="16"/>
      <c r="VNE19" s="16"/>
      <c r="VNT19" s="16"/>
      <c r="VOI19" s="16"/>
      <c r="VOX19" s="16"/>
      <c r="VPM19" s="16"/>
      <c r="VQB19" s="16"/>
      <c r="VQQ19" s="16"/>
      <c r="VRF19" s="16"/>
      <c r="VRU19" s="16"/>
      <c r="VSJ19" s="16"/>
      <c r="VSY19" s="16"/>
      <c r="VTN19" s="16"/>
      <c r="VUC19" s="16"/>
      <c r="VUR19" s="16"/>
      <c r="VVG19" s="16"/>
      <c r="VVV19" s="16"/>
      <c r="VWK19" s="16"/>
      <c r="VWZ19" s="16"/>
      <c r="VXO19" s="16"/>
      <c r="VYD19" s="16"/>
      <c r="VYS19" s="16"/>
      <c r="VZH19" s="16"/>
      <c r="VZW19" s="16"/>
      <c r="WAL19" s="16"/>
      <c r="WBA19" s="16"/>
      <c r="WBP19" s="16"/>
      <c r="WCE19" s="16"/>
      <c r="WCT19" s="16"/>
      <c r="WDI19" s="16"/>
      <c r="WDX19" s="16"/>
      <c r="WEM19" s="16"/>
      <c r="WFB19" s="16"/>
      <c r="WFQ19" s="16"/>
      <c r="WGF19" s="16"/>
      <c r="WGU19" s="16"/>
      <c r="WHJ19" s="16"/>
      <c r="WHY19" s="16"/>
      <c r="WIN19" s="16"/>
      <c r="WJC19" s="16"/>
      <c r="WJR19" s="16"/>
      <c r="WKG19" s="16"/>
      <c r="WKV19" s="16"/>
      <c r="WLK19" s="16"/>
      <c r="WLZ19" s="16"/>
      <c r="WMO19" s="16"/>
      <c r="WND19" s="16"/>
      <c r="WNS19" s="16"/>
      <c r="WOH19" s="16"/>
      <c r="WOW19" s="16"/>
      <c r="WPL19" s="16"/>
      <c r="WQA19" s="16"/>
      <c r="WQP19" s="16"/>
      <c r="WRE19" s="16"/>
      <c r="WRT19" s="16"/>
      <c r="WSI19" s="16"/>
      <c r="WSX19" s="16"/>
      <c r="WTM19" s="16"/>
      <c r="WUB19" s="16"/>
      <c r="WUQ19" s="16"/>
      <c r="WVF19" s="16"/>
      <c r="WVU19" s="16"/>
      <c r="WWJ19" s="16"/>
      <c r="WWY19" s="16"/>
      <c r="WXN19" s="16"/>
      <c r="WYC19" s="16"/>
      <c r="WYR19" s="16"/>
      <c r="WZG19" s="16"/>
      <c r="WZV19" s="16"/>
      <c r="XAK19" s="16"/>
      <c r="XAZ19" s="16"/>
      <c r="XBO19" s="16"/>
      <c r="XCD19" s="16"/>
      <c r="XCS19" s="16"/>
      <c r="XDH19" s="16"/>
      <c r="XDW19" s="16"/>
      <c r="XEL19" s="16"/>
      <c r="XFA19" s="16"/>
    </row>
    <row r="20" spans="1:1021 1036:2041 2056:3061 3076:4096 4111:5116 5131:6136 6151:7156 7171:8191 8206:9211 9226:10231 10246:11251 11266:12286 12301:13306 13321:14326 14341:15346 15361:16381" x14ac:dyDescent="0.3">
      <c r="A20" s="16"/>
      <c r="B20" s="16"/>
      <c r="P20" s="16"/>
      <c r="AE20" s="16"/>
      <c r="AT20" s="16"/>
      <c r="BI20" s="16"/>
      <c r="BX20" s="16"/>
      <c r="CM20" s="16"/>
      <c r="DB20" s="16"/>
      <c r="DQ20" s="16"/>
      <c r="EF20" s="16"/>
      <c r="EU20" s="16"/>
      <c r="FJ20" s="16"/>
      <c r="FY20" s="16"/>
      <c r="GN20" s="16"/>
      <c r="HC20" s="16"/>
      <c r="HR20" s="16"/>
      <c r="IG20" s="16"/>
      <c r="IV20" s="16"/>
      <c r="JK20" s="16"/>
      <c r="JZ20" s="16"/>
      <c r="KO20" s="16"/>
      <c r="LD20" s="16"/>
      <c r="LS20" s="16"/>
      <c r="MH20" s="16"/>
      <c r="MW20" s="16"/>
      <c r="NL20" s="16"/>
      <c r="OA20" s="16"/>
      <c r="OP20" s="16"/>
      <c r="PE20" s="16"/>
      <c r="PT20" s="16"/>
      <c r="QI20" s="16"/>
      <c r="QX20" s="16"/>
      <c r="RM20" s="16"/>
      <c r="SB20" s="16"/>
      <c r="SQ20" s="16"/>
      <c r="TF20" s="16"/>
      <c r="TU20" s="16"/>
      <c r="UJ20" s="16"/>
      <c r="UY20" s="16"/>
      <c r="VN20" s="16"/>
      <c r="WC20" s="16"/>
      <c r="WR20" s="16"/>
      <c r="XG20" s="16"/>
      <c r="XV20" s="16"/>
      <c r="YK20" s="16"/>
      <c r="YZ20" s="16"/>
      <c r="ZO20" s="16"/>
      <c r="AAD20" s="16"/>
      <c r="AAS20" s="16"/>
      <c r="ABH20" s="16"/>
      <c r="ABW20" s="16"/>
      <c r="ACL20" s="16"/>
      <c r="ADA20" s="16"/>
      <c r="ADP20" s="16"/>
      <c r="AEE20" s="16"/>
      <c r="AET20" s="16"/>
      <c r="AFI20" s="16"/>
      <c r="AFX20" s="16"/>
      <c r="AGM20" s="16"/>
      <c r="AHB20" s="16"/>
      <c r="AHQ20" s="16"/>
      <c r="AIF20" s="16"/>
      <c r="AIU20" s="16"/>
      <c r="AJJ20" s="16"/>
      <c r="AJY20" s="16"/>
      <c r="AKN20" s="16"/>
      <c r="ALC20" s="16"/>
      <c r="ALR20" s="16"/>
      <c r="AMG20" s="16"/>
      <c r="AMV20" s="16"/>
      <c r="ANK20" s="16"/>
      <c r="ANZ20" s="16"/>
      <c r="AOO20" s="16"/>
      <c r="APD20" s="16"/>
      <c r="APS20" s="16"/>
      <c r="AQH20" s="16"/>
      <c r="AQW20" s="16"/>
      <c r="ARL20" s="16"/>
      <c r="ASA20" s="16"/>
      <c r="ASP20" s="16"/>
      <c r="ATE20" s="16"/>
      <c r="ATT20" s="16"/>
      <c r="AUI20" s="16"/>
      <c r="AUX20" s="16"/>
      <c r="AVM20" s="16"/>
      <c r="AWB20" s="16"/>
      <c r="AWQ20" s="16"/>
      <c r="AXF20" s="16"/>
      <c r="AXU20" s="16"/>
      <c r="AYJ20" s="16"/>
      <c r="AYY20" s="16"/>
      <c r="AZN20" s="16"/>
      <c r="BAC20" s="16"/>
      <c r="BAR20" s="16"/>
      <c r="BBG20" s="16"/>
      <c r="BBV20" s="16"/>
      <c r="BCK20" s="16"/>
      <c r="BCZ20" s="16"/>
      <c r="BDO20" s="16"/>
      <c r="BED20" s="16"/>
      <c r="BES20" s="16"/>
      <c r="BFH20" s="16"/>
      <c r="BFW20" s="16"/>
      <c r="BGL20" s="16"/>
      <c r="BHA20" s="16"/>
      <c r="BHP20" s="16"/>
      <c r="BIE20" s="16"/>
      <c r="BIT20" s="16"/>
      <c r="BJI20" s="16"/>
      <c r="BJX20" s="16"/>
      <c r="BKM20" s="16"/>
      <c r="BLB20" s="16"/>
      <c r="BLQ20" s="16"/>
      <c r="BMF20" s="16"/>
      <c r="BMU20" s="16"/>
      <c r="BNJ20" s="16"/>
      <c r="BNY20" s="16"/>
      <c r="BON20" s="16"/>
      <c r="BPC20" s="16"/>
      <c r="BPR20" s="16"/>
      <c r="BQG20" s="16"/>
      <c r="BQV20" s="16"/>
      <c r="BRK20" s="16"/>
      <c r="BRZ20" s="16"/>
      <c r="BSO20" s="16"/>
      <c r="BTD20" s="16"/>
      <c r="BTS20" s="16"/>
      <c r="BUH20" s="16"/>
      <c r="BUW20" s="16"/>
      <c r="BVL20" s="16"/>
      <c r="BWA20" s="16"/>
      <c r="BWP20" s="16"/>
      <c r="BXE20" s="16"/>
      <c r="BXT20" s="16"/>
      <c r="BYI20" s="16"/>
      <c r="BYX20" s="16"/>
      <c r="BZM20" s="16"/>
      <c r="CAB20" s="16"/>
      <c r="CAQ20" s="16"/>
      <c r="CBF20" s="16"/>
      <c r="CBU20" s="16"/>
      <c r="CCJ20" s="16"/>
      <c r="CCY20" s="16"/>
      <c r="CDN20" s="16"/>
      <c r="CEC20" s="16"/>
      <c r="CER20" s="16"/>
      <c r="CFG20" s="16"/>
      <c r="CFV20" s="16"/>
      <c r="CGK20" s="16"/>
      <c r="CGZ20" s="16"/>
      <c r="CHO20" s="16"/>
      <c r="CID20" s="16"/>
      <c r="CIS20" s="16"/>
      <c r="CJH20" s="16"/>
      <c r="CJW20" s="16"/>
      <c r="CKL20" s="16"/>
      <c r="CLA20" s="16"/>
      <c r="CLP20" s="16"/>
      <c r="CME20" s="16"/>
      <c r="CMT20" s="16"/>
      <c r="CNI20" s="16"/>
      <c r="CNX20" s="16"/>
      <c r="COM20" s="16"/>
      <c r="CPB20" s="16"/>
      <c r="CPQ20" s="16"/>
      <c r="CQF20" s="16"/>
      <c r="CQU20" s="16"/>
      <c r="CRJ20" s="16"/>
      <c r="CRY20" s="16"/>
      <c r="CSN20" s="16"/>
      <c r="CTC20" s="16"/>
      <c r="CTR20" s="16"/>
      <c r="CUG20" s="16"/>
      <c r="CUV20" s="16"/>
      <c r="CVK20" s="16"/>
      <c r="CVZ20" s="16"/>
      <c r="CWO20" s="16"/>
      <c r="CXD20" s="16"/>
      <c r="CXS20" s="16"/>
      <c r="CYH20" s="16"/>
      <c r="CYW20" s="16"/>
      <c r="CZL20" s="16"/>
      <c r="DAA20" s="16"/>
      <c r="DAP20" s="16"/>
      <c r="DBE20" s="16"/>
      <c r="DBT20" s="16"/>
      <c r="DCI20" s="16"/>
      <c r="DCX20" s="16"/>
      <c r="DDM20" s="16"/>
      <c r="DEB20" s="16"/>
      <c r="DEQ20" s="16"/>
      <c r="DFF20" s="16"/>
      <c r="DFU20" s="16"/>
      <c r="DGJ20" s="16"/>
      <c r="DGY20" s="16"/>
      <c r="DHN20" s="16"/>
      <c r="DIC20" s="16"/>
      <c r="DIR20" s="16"/>
      <c r="DJG20" s="16"/>
      <c r="DJV20" s="16"/>
      <c r="DKK20" s="16"/>
      <c r="DKZ20" s="16"/>
      <c r="DLO20" s="16"/>
      <c r="DMD20" s="16"/>
      <c r="DMS20" s="16"/>
      <c r="DNH20" s="16"/>
      <c r="DNW20" s="16"/>
      <c r="DOL20" s="16"/>
      <c r="DPA20" s="16"/>
      <c r="DPP20" s="16"/>
      <c r="DQE20" s="16"/>
      <c r="DQT20" s="16"/>
      <c r="DRI20" s="16"/>
      <c r="DRX20" s="16"/>
      <c r="DSM20" s="16"/>
      <c r="DTB20" s="16"/>
      <c r="DTQ20" s="16"/>
      <c r="DUF20" s="16"/>
      <c r="DUU20" s="16"/>
      <c r="DVJ20" s="16"/>
      <c r="DVY20" s="16"/>
      <c r="DWN20" s="16"/>
      <c r="DXC20" s="16"/>
      <c r="DXR20" s="16"/>
      <c r="DYG20" s="16"/>
      <c r="DYV20" s="16"/>
      <c r="DZK20" s="16"/>
      <c r="DZZ20" s="16"/>
      <c r="EAO20" s="16"/>
      <c r="EBD20" s="16"/>
      <c r="EBS20" s="16"/>
      <c r="ECH20" s="16"/>
      <c r="ECW20" s="16"/>
      <c r="EDL20" s="16"/>
      <c r="EEA20" s="16"/>
      <c r="EEP20" s="16"/>
      <c r="EFE20" s="16"/>
      <c r="EFT20" s="16"/>
      <c r="EGI20" s="16"/>
      <c r="EGX20" s="16"/>
      <c r="EHM20" s="16"/>
      <c r="EIB20" s="16"/>
      <c r="EIQ20" s="16"/>
      <c r="EJF20" s="16"/>
      <c r="EJU20" s="16"/>
      <c r="EKJ20" s="16"/>
      <c r="EKY20" s="16"/>
      <c r="ELN20" s="16"/>
      <c r="EMC20" s="16"/>
      <c r="EMR20" s="16"/>
      <c r="ENG20" s="16"/>
      <c r="ENV20" s="16"/>
      <c r="EOK20" s="16"/>
      <c r="EOZ20" s="16"/>
      <c r="EPO20" s="16"/>
      <c r="EQD20" s="16"/>
      <c r="EQS20" s="16"/>
      <c r="ERH20" s="16"/>
      <c r="ERW20" s="16"/>
      <c r="ESL20" s="16"/>
      <c r="ETA20" s="16"/>
      <c r="ETP20" s="16"/>
      <c r="EUE20" s="16"/>
      <c r="EUT20" s="16"/>
      <c r="EVI20" s="16"/>
      <c r="EVX20" s="16"/>
      <c r="EWM20" s="16"/>
      <c r="EXB20" s="16"/>
      <c r="EXQ20" s="16"/>
      <c r="EYF20" s="16"/>
      <c r="EYU20" s="16"/>
      <c r="EZJ20" s="16"/>
      <c r="EZY20" s="16"/>
      <c r="FAN20" s="16"/>
      <c r="FBC20" s="16"/>
      <c r="FBR20" s="16"/>
      <c r="FCG20" s="16"/>
      <c r="FCV20" s="16"/>
      <c r="FDK20" s="16"/>
      <c r="FDZ20" s="16"/>
      <c r="FEO20" s="16"/>
      <c r="FFD20" s="16"/>
      <c r="FFS20" s="16"/>
      <c r="FGH20" s="16"/>
      <c r="FGW20" s="16"/>
      <c r="FHL20" s="16"/>
      <c r="FIA20" s="16"/>
      <c r="FIP20" s="16"/>
      <c r="FJE20" s="16"/>
      <c r="FJT20" s="16"/>
      <c r="FKI20" s="16"/>
      <c r="FKX20" s="16"/>
      <c r="FLM20" s="16"/>
      <c r="FMB20" s="16"/>
      <c r="FMQ20" s="16"/>
      <c r="FNF20" s="16"/>
      <c r="FNU20" s="16"/>
      <c r="FOJ20" s="16"/>
      <c r="FOY20" s="16"/>
      <c r="FPN20" s="16"/>
      <c r="FQC20" s="16"/>
      <c r="FQR20" s="16"/>
      <c r="FRG20" s="16"/>
      <c r="FRV20" s="16"/>
      <c r="FSK20" s="16"/>
      <c r="FSZ20" s="16"/>
      <c r="FTO20" s="16"/>
      <c r="FUD20" s="16"/>
      <c r="FUS20" s="16"/>
      <c r="FVH20" s="16"/>
      <c r="FVW20" s="16"/>
      <c r="FWL20" s="16"/>
      <c r="FXA20" s="16"/>
      <c r="FXP20" s="16"/>
      <c r="FYE20" s="16"/>
      <c r="FYT20" s="16"/>
      <c r="FZI20" s="16"/>
      <c r="FZX20" s="16"/>
      <c r="GAM20" s="16"/>
      <c r="GBB20" s="16"/>
      <c r="GBQ20" s="16"/>
      <c r="GCF20" s="16"/>
      <c r="GCU20" s="16"/>
      <c r="GDJ20" s="16"/>
      <c r="GDY20" s="16"/>
      <c r="GEN20" s="16"/>
      <c r="GFC20" s="16"/>
      <c r="GFR20" s="16"/>
      <c r="GGG20" s="16"/>
      <c r="GGV20" s="16"/>
      <c r="GHK20" s="16"/>
      <c r="GHZ20" s="16"/>
      <c r="GIO20" s="16"/>
      <c r="GJD20" s="16"/>
      <c r="GJS20" s="16"/>
      <c r="GKH20" s="16"/>
      <c r="GKW20" s="16"/>
      <c r="GLL20" s="16"/>
      <c r="GMA20" s="16"/>
      <c r="GMP20" s="16"/>
      <c r="GNE20" s="16"/>
      <c r="GNT20" s="16"/>
      <c r="GOI20" s="16"/>
      <c r="GOX20" s="16"/>
      <c r="GPM20" s="16"/>
      <c r="GQB20" s="16"/>
      <c r="GQQ20" s="16"/>
      <c r="GRF20" s="16"/>
      <c r="GRU20" s="16"/>
      <c r="GSJ20" s="16"/>
      <c r="GSY20" s="16"/>
      <c r="GTN20" s="16"/>
      <c r="GUC20" s="16"/>
      <c r="GUR20" s="16"/>
      <c r="GVG20" s="16"/>
      <c r="GVV20" s="16"/>
      <c r="GWK20" s="16"/>
      <c r="GWZ20" s="16"/>
      <c r="GXO20" s="16"/>
      <c r="GYD20" s="16"/>
      <c r="GYS20" s="16"/>
      <c r="GZH20" s="16"/>
      <c r="GZW20" s="16"/>
      <c r="HAL20" s="16"/>
      <c r="HBA20" s="16"/>
      <c r="HBP20" s="16"/>
      <c r="HCE20" s="16"/>
      <c r="HCT20" s="16"/>
      <c r="HDI20" s="16"/>
      <c r="HDX20" s="16"/>
      <c r="HEM20" s="16"/>
      <c r="HFB20" s="16"/>
      <c r="HFQ20" s="16"/>
      <c r="HGF20" s="16"/>
      <c r="HGU20" s="16"/>
      <c r="HHJ20" s="16"/>
      <c r="HHY20" s="16"/>
      <c r="HIN20" s="16"/>
      <c r="HJC20" s="16"/>
      <c r="HJR20" s="16"/>
      <c r="HKG20" s="16"/>
      <c r="HKV20" s="16"/>
      <c r="HLK20" s="16"/>
      <c r="HLZ20" s="16"/>
      <c r="HMO20" s="16"/>
      <c r="HND20" s="16"/>
      <c r="HNS20" s="16"/>
      <c r="HOH20" s="16"/>
      <c r="HOW20" s="16"/>
      <c r="HPL20" s="16"/>
      <c r="HQA20" s="16"/>
      <c r="HQP20" s="16"/>
      <c r="HRE20" s="16"/>
      <c r="HRT20" s="16"/>
      <c r="HSI20" s="16"/>
      <c r="HSX20" s="16"/>
      <c r="HTM20" s="16"/>
      <c r="HUB20" s="16"/>
      <c r="HUQ20" s="16"/>
      <c r="HVF20" s="16"/>
      <c r="HVU20" s="16"/>
      <c r="HWJ20" s="16"/>
      <c r="HWY20" s="16"/>
      <c r="HXN20" s="16"/>
      <c r="HYC20" s="16"/>
      <c r="HYR20" s="16"/>
      <c r="HZG20" s="16"/>
      <c r="HZV20" s="16"/>
      <c r="IAK20" s="16"/>
      <c r="IAZ20" s="16"/>
      <c r="IBO20" s="16"/>
      <c r="ICD20" s="16"/>
      <c r="ICS20" s="16"/>
      <c r="IDH20" s="16"/>
      <c r="IDW20" s="16"/>
      <c r="IEL20" s="16"/>
      <c r="IFA20" s="16"/>
      <c r="IFP20" s="16"/>
      <c r="IGE20" s="16"/>
      <c r="IGT20" s="16"/>
      <c r="IHI20" s="16"/>
      <c r="IHX20" s="16"/>
      <c r="IIM20" s="16"/>
      <c r="IJB20" s="16"/>
      <c r="IJQ20" s="16"/>
      <c r="IKF20" s="16"/>
      <c r="IKU20" s="16"/>
      <c r="ILJ20" s="16"/>
      <c r="ILY20" s="16"/>
      <c r="IMN20" s="16"/>
      <c r="INC20" s="16"/>
      <c r="INR20" s="16"/>
      <c r="IOG20" s="16"/>
      <c r="IOV20" s="16"/>
      <c r="IPK20" s="16"/>
      <c r="IPZ20" s="16"/>
      <c r="IQO20" s="16"/>
      <c r="IRD20" s="16"/>
      <c r="IRS20" s="16"/>
      <c r="ISH20" s="16"/>
      <c r="ISW20" s="16"/>
      <c r="ITL20" s="16"/>
      <c r="IUA20" s="16"/>
      <c r="IUP20" s="16"/>
      <c r="IVE20" s="16"/>
      <c r="IVT20" s="16"/>
      <c r="IWI20" s="16"/>
      <c r="IWX20" s="16"/>
      <c r="IXM20" s="16"/>
      <c r="IYB20" s="16"/>
      <c r="IYQ20" s="16"/>
      <c r="IZF20" s="16"/>
      <c r="IZU20" s="16"/>
      <c r="JAJ20" s="16"/>
      <c r="JAY20" s="16"/>
      <c r="JBN20" s="16"/>
      <c r="JCC20" s="16"/>
      <c r="JCR20" s="16"/>
      <c r="JDG20" s="16"/>
      <c r="JDV20" s="16"/>
      <c r="JEK20" s="16"/>
      <c r="JEZ20" s="16"/>
      <c r="JFO20" s="16"/>
      <c r="JGD20" s="16"/>
      <c r="JGS20" s="16"/>
      <c r="JHH20" s="16"/>
      <c r="JHW20" s="16"/>
      <c r="JIL20" s="16"/>
      <c r="JJA20" s="16"/>
      <c r="JJP20" s="16"/>
      <c r="JKE20" s="16"/>
      <c r="JKT20" s="16"/>
      <c r="JLI20" s="16"/>
      <c r="JLX20" s="16"/>
      <c r="JMM20" s="16"/>
      <c r="JNB20" s="16"/>
      <c r="JNQ20" s="16"/>
      <c r="JOF20" s="16"/>
      <c r="JOU20" s="16"/>
      <c r="JPJ20" s="16"/>
      <c r="JPY20" s="16"/>
      <c r="JQN20" s="16"/>
      <c r="JRC20" s="16"/>
      <c r="JRR20" s="16"/>
      <c r="JSG20" s="16"/>
      <c r="JSV20" s="16"/>
      <c r="JTK20" s="16"/>
      <c r="JTZ20" s="16"/>
      <c r="JUO20" s="16"/>
      <c r="JVD20" s="16"/>
      <c r="JVS20" s="16"/>
      <c r="JWH20" s="16"/>
      <c r="JWW20" s="16"/>
      <c r="JXL20" s="16"/>
      <c r="JYA20" s="16"/>
      <c r="JYP20" s="16"/>
      <c r="JZE20" s="16"/>
      <c r="JZT20" s="16"/>
      <c r="KAI20" s="16"/>
      <c r="KAX20" s="16"/>
      <c r="KBM20" s="16"/>
      <c r="KCB20" s="16"/>
      <c r="KCQ20" s="16"/>
      <c r="KDF20" s="16"/>
      <c r="KDU20" s="16"/>
      <c r="KEJ20" s="16"/>
      <c r="KEY20" s="16"/>
      <c r="KFN20" s="16"/>
      <c r="KGC20" s="16"/>
      <c r="KGR20" s="16"/>
      <c r="KHG20" s="16"/>
      <c r="KHV20" s="16"/>
      <c r="KIK20" s="16"/>
      <c r="KIZ20" s="16"/>
      <c r="KJO20" s="16"/>
      <c r="KKD20" s="16"/>
      <c r="KKS20" s="16"/>
      <c r="KLH20" s="16"/>
      <c r="KLW20" s="16"/>
      <c r="KML20" s="16"/>
      <c r="KNA20" s="16"/>
      <c r="KNP20" s="16"/>
      <c r="KOE20" s="16"/>
      <c r="KOT20" s="16"/>
      <c r="KPI20" s="16"/>
      <c r="KPX20" s="16"/>
      <c r="KQM20" s="16"/>
      <c r="KRB20" s="16"/>
      <c r="KRQ20" s="16"/>
      <c r="KSF20" s="16"/>
      <c r="KSU20" s="16"/>
      <c r="KTJ20" s="16"/>
      <c r="KTY20" s="16"/>
      <c r="KUN20" s="16"/>
      <c r="KVC20" s="16"/>
      <c r="KVR20" s="16"/>
      <c r="KWG20" s="16"/>
      <c r="KWV20" s="16"/>
      <c r="KXK20" s="16"/>
      <c r="KXZ20" s="16"/>
      <c r="KYO20" s="16"/>
      <c r="KZD20" s="16"/>
      <c r="KZS20" s="16"/>
      <c r="LAH20" s="16"/>
      <c r="LAW20" s="16"/>
      <c r="LBL20" s="16"/>
      <c r="LCA20" s="16"/>
      <c r="LCP20" s="16"/>
      <c r="LDE20" s="16"/>
      <c r="LDT20" s="16"/>
      <c r="LEI20" s="16"/>
      <c r="LEX20" s="16"/>
      <c r="LFM20" s="16"/>
      <c r="LGB20" s="16"/>
      <c r="LGQ20" s="16"/>
      <c r="LHF20" s="16"/>
      <c r="LHU20" s="16"/>
      <c r="LIJ20" s="16"/>
      <c r="LIY20" s="16"/>
      <c r="LJN20" s="16"/>
      <c r="LKC20" s="16"/>
      <c r="LKR20" s="16"/>
      <c r="LLG20" s="16"/>
      <c r="LLV20" s="16"/>
      <c r="LMK20" s="16"/>
      <c r="LMZ20" s="16"/>
      <c r="LNO20" s="16"/>
      <c r="LOD20" s="16"/>
      <c r="LOS20" s="16"/>
      <c r="LPH20" s="16"/>
      <c r="LPW20" s="16"/>
      <c r="LQL20" s="16"/>
      <c r="LRA20" s="16"/>
      <c r="LRP20" s="16"/>
      <c r="LSE20" s="16"/>
      <c r="LST20" s="16"/>
      <c r="LTI20" s="16"/>
      <c r="LTX20" s="16"/>
      <c r="LUM20" s="16"/>
      <c r="LVB20" s="16"/>
      <c r="LVQ20" s="16"/>
      <c r="LWF20" s="16"/>
      <c r="LWU20" s="16"/>
      <c r="LXJ20" s="16"/>
      <c r="LXY20" s="16"/>
      <c r="LYN20" s="16"/>
      <c r="LZC20" s="16"/>
      <c r="LZR20" s="16"/>
      <c r="MAG20" s="16"/>
      <c r="MAV20" s="16"/>
      <c r="MBK20" s="16"/>
      <c r="MBZ20" s="16"/>
      <c r="MCO20" s="16"/>
      <c r="MDD20" s="16"/>
      <c r="MDS20" s="16"/>
      <c r="MEH20" s="16"/>
      <c r="MEW20" s="16"/>
      <c r="MFL20" s="16"/>
      <c r="MGA20" s="16"/>
      <c r="MGP20" s="16"/>
      <c r="MHE20" s="16"/>
      <c r="MHT20" s="16"/>
      <c r="MII20" s="16"/>
      <c r="MIX20" s="16"/>
      <c r="MJM20" s="16"/>
      <c r="MKB20" s="16"/>
      <c r="MKQ20" s="16"/>
      <c r="MLF20" s="16"/>
      <c r="MLU20" s="16"/>
      <c r="MMJ20" s="16"/>
      <c r="MMY20" s="16"/>
      <c r="MNN20" s="16"/>
      <c r="MOC20" s="16"/>
      <c r="MOR20" s="16"/>
      <c r="MPG20" s="16"/>
      <c r="MPV20" s="16"/>
      <c r="MQK20" s="16"/>
      <c r="MQZ20" s="16"/>
      <c r="MRO20" s="16"/>
      <c r="MSD20" s="16"/>
      <c r="MSS20" s="16"/>
      <c r="MTH20" s="16"/>
      <c r="MTW20" s="16"/>
      <c r="MUL20" s="16"/>
      <c r="MVA20" s="16"/>
      <c r="MVP20" s="16"/>
      <c r="MWE20" s="16"/>
      <c r="MWT20" s="16"/>
      <c r="MXI20" s="16"/>
      <c r="MXX20" s="16"/>
      <c r="MYM20" s="16"/>
      <c r="MZB20" s="16"/>
      <c r="MZQ20" s="16"/>
      <c r="NAF20" s="16"/>
      <c r="NAU20" s="16"/>
      <c r="NBJ20" s="16"/>
      <c r="NBY20" s="16"/>
      <c r="NCN20" s="16"/>
      <c r="NDC20" s="16"/>
      <c r="NDR20" s="16"/>
      <c r="NEG20" s="16"/>
      <c r="NEV20" s="16"/>
      <c r="NFK20" s="16"/>
      <c r="NFZ20" s="16"/>
      <c r="NGO20" s="16"/>
      <c r="NHD20" s="16"/>
      <c r="NHS20" s="16"/>
      <c r="NIH20" s="16"/>
      <c r="NIW20" s="16"/>
      <c r="NJL20" s="16"/>
      <c r="NKA20" s="16"/>
      <c r="NKP20" s="16"/>
      <c r="NLE20" s="16"/>
      <c r="NLT20" s="16"/>
      <c r="NMI20" s="16"/>
      <c r="NMX20" s="16"/>
      <c r="NNM20" s="16"/>
      <c r="NOB20" s="16"/>
      <c r="NOQ20" s="16"/>
      <c r="NPF20" s="16"/>
      <c r="NPU20" s="16"/>
      <c r="NQJ20" s="16"/>
      <c r="NQY20" s="16"/>
      <c r="NRN20" s="16"/>
      <c r="NSC20" s="16"/>
      <c r="NSR20" s="16"/>
      <c r="NTG20" s="16"/>
      <c r="NTV20" s="16"/>
      <c r="NUK20" s="16"/>
      <c r="NUZ20" s="16"/>
      <c r="NVO20" s="16"/>
      <c r="NWD20" s="16"/>
      <c r="NWS20" s="16"/>
      <c r="NXH20" s="16"/>
      <c r="NXW20" s="16"/>
      <c r="NYL20" s="16"/>
      <c r="NZA20" s="16"/>
      <c r="NZP20" s="16"/>
      <c r="OAE20" s="16"/>
      <c r="OAT20" s="16"/>
      <c r="OBI20" s="16"/>
      <c r="OBX20" s="16"/>
      <c r="OCM20" s="16"/>
      <c r="ODB20" s="16"/>
      <c r="ODQ20" s="16"/>
      <c r="OEF20" s="16"/>
      <c r="OEU20" s="16"/>
      <c r="OFJ20" s="16"/>
      <c r="OFY20" s="16"/>
      <c r="OGN20" s="16"/>
      <c r="OHC20" s="16"/>
      <c r="OHR20" s="16"/>
      <c r="OIG20" s="16"/>
      <c r="OIV20" s="16"/>
      <c r="OJK20" s="16"/>
      <c r="OJZ20" s="16"/>
      <c r="OKO20" s="16"/>
      <c r="OLD20" s="16"/>
      <c r="OLS20" s="16"/>
      <c r="OMH20" s="16"/>
      <c r="OMW20" s="16"/>
      <c r="ONL20" s="16"/>
      <c r="OOA20" s="16"/>
      <c r="OOP20" s="16"/>
      <c r="OPE20" s="16"/>
      <c r="OPT20" s="16"/>
      <c r="OQI20" s="16"/>
      <c r="OQX20" s="16"/>
      <c r="ORM20" s="16"/>
      <c r="OSB20" s="16"/>
      <c r="OSQ20" s="16"/>
      <c r="OTF20" s="16"/>
      <c r="OTU20" s="16"/>
      <c r="OUJ20" s="16"/>
      <c r="OUY20" s="16"/>
      <c r="OVN20" s="16"/>
      <c r="OWC20" s="16"/>
      <c r="OWR20" s="16"/>
      <c r="OXG20" s="16"/>
      <c r="OXV20" s="16"/>
      <c r="OYK20" s="16"/>
      <c r="OYZ20" s="16"/>
      <c r="OZO20" s="16"/>
      <c r="PAD20" s="16"/>
      <c r="PAS20" s="16"/>
      <c r="PBH20" s="16"/>
      <c r="PBW20" s="16"/>
      <c r="PCL20" s="16"/>
      <c r="PDA20" s="16"/>
      <c r="PDP20" s="16"/>
      <c r="PEE20" s="16"/>
      <c r="PET20" s="16"/>
      <c r="PFI20" s="16"/>
      <c r="PFX20" s="16"/>
      <c r="PGM20" s="16"/>
      <c r="PHB20" s="16"/>
      <c r="PHQ20" s="16"/>
      <c r="PIF20" s="16"/>
      <c r="PIU20" s="16"/>
      <c r="PJJ20" s="16"/>
      <c r="PJY20" s="16"/>
      <c r="PKN20" s="16"/>
      <c r="PLC20" s="16"/>
      <c r="PLR20" s="16"/>
      <c r="PMG20" s="16"/>
      <c r="PMV20" s="16"/>
      <c r="PNK20" s="16"/>
      <c r="PNZ20" s="16"/>
      <c r="POO20" s="16"/>
      <c r="PPD20" s="16"/>
      <c r="PPS20" s="16"/>
      <c r="PQH20" s="16"/>
      <c r="PQW20" s="16"/>
      <c r="PRL20" s="16"/>
      <c r="PSA20" s="16"/>
      <c r="PSP20" s="16"/>
      <c r="PTE20" s="16"/>
      <c r="PTT20" s="16"/>
      <c r="PUI20" s="16"/>
      <c r="PUX20" s="16"/>
      <c r="PVM20" s="16"/>
      <c r="PWB20" s="16"/>
      <c r="PWQ20" s="16"/>
      <c r="PXF20" s="16"/>
      <c r="PXU20" s="16"/>
      <c r="PYJ20" s="16"/>
      <c r="PYY20" s="16"/>
      <c r="PZN20" s="16"/>
      <c r="QAC20" s="16"/>
      <c r="QAR20" s="16"/>
      <c r="QBG20" s="16"/>
      <c r="QBV20" s="16"/>
      <c r="QCK20" s="16"/>
      <c r="QCZ20" s="16"/>
      <c r="QDO20" s="16"/>
      <c r="QED20" s="16"/>
      <c r="QES20" s="16"/>
      <c r="QFH20" s="16"/>
      <c r="QFW20" s="16"/>
      <c r="QGL20" s="16"/>
      <c r="QHA20" s="16"/>
      <c r="QHP20" s="16"/>
      <c r="QIE20" s="16"/>
      <c r="QIT20" s="16"/>
      <c r="QJI20" s="16"/>
      <c r="QJX20" s="16"/>
      <c r="QKM20" s="16"/>
      <c r="QLB20" s="16"/>
      <c r="QLQ20" s="16"/>
      <c r="QMF20" s="16"/>
      <c r="QMU20" s="16"/>
      <c r="QNJ20" s="16"/>
      <c r="QNY20" s="16"/>
      <c r="QON20" s="16"/>
      <c r="QPC20" s="16"/>
      <c r="QPR20" s="16"/>
      <c r="QQG20" s="16"/>
      <c r="QQV20" s="16"/>
      <c r="QRK20" s="16"/>
      <c r="QRZ20" s="16"/>
      <c r="QSO20" s="16"/>
      <c r="QTD20" s="16"/>
      <c r="QTS20" s="16"/>
      <c r="QUH20" s="16"/>
      <c r="QUW20" s="16"/>
      <c r="QVL20" s="16"/>
      <c r="QWA20" s="16"/>
      <c r="QWP20" s="16"/>
      <c r="QXE20" s="16"/>
      <c r="QXT20" s="16"/>
      <c r="QYI20" s="16"/>
      <c r="QYX20" s="16"/>
      <c r="QZM20" s="16"/>
      <c r="RAB20" s="16"/>
      <c r="RAQ20" s="16"/>
      <c r="RBF20" s="16"/>
      <c r="RBU20" s="16"/>
      <c r="RCJ20" s="16"/>
      <c r="RCY20" s="16"/>
      <c r="RDN20" s="16"/>
      <c r="REC20" s="16"/>
      <c r="RER20" s="16"/>
      <c r="RFG20" s="16"/>
      <c r="RFV20" s="16"/>
      <c r="RGK20" s="16"/>
      <c r="RGZ20" s="16"/>
      <c r="RHO20" s="16"/>
      <c r="RID20" s="16"/>
      <c r="RIS20" s="16"/>
      <c r="RJH20" s="16"/>
      <c r="RJW20" s="16"/>
      <c r="RKL20" s="16"/>
      <c r="RLA20" s="16"/>
      <c r="RLP20" s="16"/>
      <c r="RME20" s="16"/>
      <c r="RMT20" s="16"/>
      <c r="RNI20" s="16"/>
      <c r="RNX20" s="16"/>
      <c r="ROM20" s="16"/>
      <c r="RPB20" s="16"/>
      <c r="RPQ20" s="16"/>
      <c r="RQF20" s="16"/>
      <c r="RQU20" s="16"/>
      <c r="RRJ20" s="16"/>
      <c r="RRY20" s="16"/>
      <c r="RSN20" s="16"/>
      <c r="RTC20" s="16"/>
      <c r="RTR20" s="16"/>
      <c r="RUG20" s="16"/>
      <c r="RUV20" s="16"/>
      <c r="RVK20" s="16"/>
      <c r="RVZ20" s="16"/>
      <c r="RWO20" s="16"/>
      <c r="RXD20" s="16"/>
      <c r="RXS20" s="16"/>
      <c r="RYH20" s="16"/>
      <c r="RYW20" s="16"/>
      <c r="RZL20" s="16"/>
      <c r="SAA20" s="16"/>
      <c r="SAP20" s="16"/>
      <c r="SBE20" s="16"/>
      <c r="SBT20" s="16"/>
      <c r="SCI20" s="16"/>
      <c r="SCX20" s="16"/>
      <c r="SDM20" s="16"/>
      <c r="SEB20" s="16"/>
      <c r="SEQ20" s="16"/>
      <c r="SFF20" s="16"/>
      <c r="SFU20" s="16"/>
      <c r="SGJ20" s="16"/>
      <c r="SGY20" s="16"/>
      <c r="SHN20" s="16"/>
      <c r="SIC20" s="16"/>
      <c r="SIR20" s="16"/>
      <c r="SJG20" s="16"/>
      <c r="SJV20" s="16"/>
      <c r="SKK20" s="16"/>
      <c r="SKZ20" s="16"/>
      <c r="SLO20" s="16"/>
      <c r="SMD20" s="16"/>
      <c r="SMS20" s="16"/>
      <c r="SNH20" s="16"/>
      <c r="SNW20" s="16"/>
      <c r="SOL20" s="16"/>
      <c r="SPA20" s="16"/>
      <c r="SPP20" s="16"/>
      <c r="SQE20" s="16"/>
      <c r="SQT20" s="16"/>
      <c r="SRI20" s="16"/>
      <c r="SRX20" s="16"/>
      <c r="SSM20" s="16"/>
      <c r="STB20" s="16"/>
      <c r="STQ20" s="16"/>
      <c r="SUF20" s="16"/>
      <c r="SUU20" s="16"/>
      <c r="SVJ20" s="16"/>
      <c r="SVY20" s="16"/>
      <c r="SWN20" s="16"/>
      <c r="SXC20" s="16"/>
      <c r="SXR20" s="16"/>
      <c r="SYG20" s="16"/>
      <c r="SYV20" s="16"/>
      <c r="SZK20" s="16"/>
      <c r="SZZ20" s="16"/>
      <c r="TAO20" s="16"/>
      <c r="TBD20" s="16"/>
      <c r="TBS20" s="16"/>
      <c r="TCH20" s="16"/>
      <c r="TCW20" s="16"/>
      <c r="TDL20" s="16"/>
      <c r="TEA20" s="16"/>
      <c r="TEP20" s="16"/>
      <c r="TFE20" s="16"/>
      <c r="TFT20" s="16"/>
      <c r="TGI20" s="16"/>
      <c r="TGX20" s="16"/>
      <c r="THM20" s="16"/>
      <c r="TIB20" s="16"/>
      <c r="TIQ20" s="16"/>
      <c r="TJF20" s="16"/>
      <c r="TJU20" s="16"/>
      <c r="TKJ20" s="16"/>
      <c r="TKY20" s="16"/>
      <c r="TLN20" s="16"/>
      <c r="TMC20" s="16"/>
      <c r="TMR20" s="16"/>
      <c r="TNG20" s="16"/>
      <c r="TNV20" s="16"/>
      <c r="TOK20" s="16"/>
      <c r="TOZ20" s="16"/>
      <c r="TPO20" s="16"/>
      <c r="TQD20" s="16"/>
      <c r="TQS20" s="16"/>
      <c r="TRH20" s="16"/>
      <c r="TRW20" s="16"/>
      <c r="TSL20" s="16"/>
      <c r="TTA20" s="16"/>
      <c r="TTP20" s="16"/>
      <c r="TUE20" s="16"/>
      <c r="TUT20" s="16"/>
      <c r="TVI20" s="16"/>
      <c r="TVX20" s="16"/>
      <c r="TWM20" s="16"/>
      <c r="TXB20" s="16"/>
      <c r="TXQ20" s="16"/>
      <c r="TYF20" s="16"/>
      <c r="TYU20" s="16"/>
      <c r="TZJ20" s="16"/>
      <c r="TZY20" s="16"/>
      <c r="UAN20" s="16"/>
      <c r="UBC20" s="16"/>
      <c r="UBR20" s="16"/>
      <c r="UCG20" s="16"/>
      <c r="UCV20" s="16"/>
      <c r="UDK20" s="16"/>
      <c r="UDZ20" s="16"/>
      <c r="UEO20" s="16"/>
      <c r="UFD20" s="16"/>
      <c r="UFS20" s="16"/>
      <c r="UGH20" s="16"/>
      <c r="UGW20" s="16"/>
      <c r="UHL20" s="16"/>
      <c r="UIA20" s="16"/>
      <c r="UIP20" s="16"/>
      <c r="UJE20" s="16"/>
      <c r="UJT20" s="16"/>
      <c r="UKI20" s="16"/>
      <c r="UKX20" s="16"/>
      <c r="ULM20" s="16"/>
      <c r="UMB20" s="16"/>
      <c r="UMQ20" s="16"/>
      <c r="UNF20" s="16"/>
      <c r="UNU20" s="16"/>
      <c r="UOJ20" s="16"/>
      <c r="UOY20" s="16"/>
      <c r="UPN20" s="16"/>
      <c r="UQC20" s="16"/>
      <c r="UQR20" s="16"/>
      <c r="URG20" s="16"/>
      <c r="URV20" s="16"/>
      <c r="USK20" s="16"/>
      <c r="USZ20" s="16"/>
      <c r="UTO20" s="16"/>
      <c r="UUD20" s="16"/>
      <c r="UUS20" s="16"/>
      <c r="UVH20" s="16"/>
      <c r="UVW20" s="16"/>
      <c r="UWL20" s="16"/>
      <c r="UXA20" s="16"/>
      <c r="UXP20" s="16"/>
      <c r="UYE20" s="16"/>
      <c r="UYT20" s="16"/>
      <c r="UZI20" s="16"/>
      <c r="UZX20" s="16"/>
      <c r="VAM20" s="16"/>
      <c r="VBB20" s="16"/>
      <c r="VBQ20" s="16"/>
      <c r="VCF20" s="16"/>
      <c r="VCU20" s="16"/>
      <c r="VDJ20" s="16"/>
      <c r="VDY20" s="16"/>
      <c r="VEN20" s="16"/>
      <c r="VFC20" s="16"/>
      <c r="VFR20" s="16"/>
      <c r="VGG20" s="16"/>
      <c r="VGV20" s="16"/>
      <c r="VHK20" s="16"/>
      <c r="VHZ20" s="16"/>
      <c r="VIO20" s="16"/>
      <c r="VJD20" s="16"/>
      <c r="VJS20" s="16"/>
      <c r="VKH20" s="16"/>
      <c r="VKW20" s="16"/>
      <c r="VLL20" s="16"/>
      <c r="VMA20" s="16"/>
      <c r="VMP20" s="16"/>
      <c r="VNE20" s="16"/>
      <c r="VNT20" s="16"/>
      <c r="VOI20" s="16"/>
      <c r="VOX20" s="16"/>
      <c r="VPM20" s="16"/>
      <c r="VQB20" s="16"/>
      <c r="VQQ20" s="16"/>
      <c r="VRF20" s="16"/>
      <c r="VRU20" s="16"/>
      <c r="VSJ20" s="16"/>
      <c r="VSY20" s="16"/>
      <c r="VTN20" s="16"/>
      <c r="VUC20" s="16"/>
      <c r="VUR20" s="16"/>
      <c r="VVG20" s="16"/>
      <c r="VVV20" s="16"/>
      <c r="VWK20" s="16"/>
      <c r="VWZ20" s="16"/>
      <c r="VXO20" s="16"/>
      <c r="VYD20" s="16"/>
      <c r="VYS20" s="16"/>
      <c r="VZH20" s="16"/>
      <c r="VZW20" s="16"/>
      <c r="WAL20" s="16"/>
      <c r="WBA20" s="16"/>
      <c r="WBP20" s="16"/>
      <c r="WCE20" s="16"/>
      <c r="WCT20" s="16"/>
      <c r="WDI20" s="16"/>
      <c r="WDX20" s="16"/>
      <c r="WEM20" s="16"/>
      <c r="WFB20" s="16"/>
      <c r="WFQ20" s="16"/>
      <c r="WGF20" s="16"/>
      <c r="WGU20" s="16"/>
      <c r="WHJ20" s="16"/>
      <c r="WHY20" s="16"/>
      <c r="WIN20" s="16"/>
      <c r="WJC20" s="16"/>
      <c r="WJR20" s="16"/>
      <c r="WKG20" s="16"/>
      <c r="WKV20" s="16"/>
      <c r="WLK20" s="16"/>
      <c r="WLZ20" s="16"/>
      <c r="WMO20" s="16"/>
      <c r="WND20" s="16"/>
      <c r="WNS20" s="16"/>
      <c r="WOH20" s="16"/>
      <c r="WOW20" s="16"/>
      <c r="WPL20" s="16"/>
      <c r="WQA20" s="16"/>
      <c r="WQP20" s="16"/>
      <c r="WRE20" s="16"/>
      <c r="WRT20" s="16"/>
      <c r="WSI20" s="16"/>
      <c r="WSX20" s="16"/>
      <c r="WTM20" s="16"/>
      <c r="WUB20" s="16"/>
      <c r="WUQ20" s="16"/>
      <c r="WVF20" s="16"/>
      <c r="WVU20" s="16"/>
      <c r="WWJ20" s="16"/>
      <c r="WWY20" s="16"/>
      <c r="WXN20" s="16"/>
      <c r="WYC20" s="16"/>
      <c r="WYR20" s="16"/>
      <c r="WZG20" s="16"/>
      <c r="WZV20" s="16"/>
      <c r="XAK20" s="16"/>
      <c r="XAZ20" s="16"/>
      <c r="XBO20" s="16"/>
      <c r="XCD20" s="16"/>
      <c r="XCS20" s="16"/>
      <c r="XDH20" s="16"/>
      <c r="XDW20" s="16"/>
      <c r="XEL20" s="16"/>
      <c r="XFA20" s="16"/>
    </row>
    <row r="21" spans="1:1021 1036:2041 2056:3061 3076:4096 4111:5116 5131:6136 6151:7156 7171:8191 8206:9211 9226:10231 10246:11251 11266:12286 12301:13306 13321:14326 14341:15346 15361:16381" x14ac:dyDescent="0.3">
      <c r="A21" s="16"/>
      <c r="B21" s="16"/>
      <c r="P21" s="16"/>
      <c r="AE21" s="16"/>
      <c r="AT21" s="16"/>
      <c r="BI21" s="16"/>
      <c r="BX21" s="16"/>
      <c r="CM21" s="16"/>
      <c r="DB21" s="16"/>
      <c r="DQ21" s="16"/>
      <c r="EF21" s="16"/>
      <c r="EU21" s="16"/>
      <c r="FJ21" s="16"/>
      <c r="FY21" s="16"/>
      <c r="GN21" s="16"/>
      <c r="HC21" s="16"/>
      <c r="HR21" s="16"/>
      <c r="IG21" s="16"/>
      <c r="IV21" s="16"/>
      <c r="JK21" s="16"/>
      <c r="JZ21" s="16"/>
      <c r="KO21" s="16"/>
      <c r="LD21" s="16"/>
      <c r="LS21" s="16"/>
      <c r="MH21" s="16"/>
      <c r="MW21" s="16"/>
      <c r="NL21" s="16"/>
      <c r="OA21" s="16"/>
      <c r="OP21" s="16"/>
      <c r="PE21" s="16"/>
      <c r="PT21" s="16"/>
      <c r="QI21" s="16"/>
      <c r="QX21" s="16"/>
      <c r="RM21" s="16"/>
      <c r="SB21" s="16"/>
      <c r="SQ21" s="16"/>
      <c r="TF21" s="16"/>
      <c r="TU21" s="16"/>
      <c r="UJ21" s="16"/>
      <c r="UY21" s="16"/>
      <c r="VN21" s="16"/>
      <c r="WC21" s="16"/>
      <c r="WR21" s="16"/>
      <c r="XG21" s="16"/>
      <c r="XV21" s="16"/>
      <c r="YK21" s="16"/>
      <c r="YZ21" s="16"/>
      <c r="ZO21" s="16"/>
      <c r="AAD21" s="16"/>
      <c r="AAS21" s="16"/>
      <c r="ABH21" s="16"/>
      <c r="ABW21" s="16"/>
      <c r="ACL21" s="16"/>
      <c r="ADA21" s="16"/>
      <c r="ADP21" s="16"/>
      <c r="AEE21" s="16"/>
      <c r="AET21" s="16"/>
      <c r="AFI21" s="16"/>
      <c r="AFX21" s="16"/>
      <c r="AGM21" s="16"/>
      <c r="AHB21" s="16"/>
      <c r="AHQ21" s="16"/>
      <c r="AIF21" s="16"/>
      <c r="AIU21" s="16"/>
      <c r="AJJ21" s="16"/>
      <c r="AJY21" s="16"/>
      <c r="AKN21" s="16"/>
      <c r="ALC21" s="16"/>
      <c r="ALR21" s="16"/>
      <c r="AMG21" s="16"/>
      <c r="AMV21" s="16"/>
      <c r="ANK21" s="16"/>
      <c r="ANZ21" s="16"/>
      <c r="AOO21" s="16"/>
      <c r="APD21" s="16"/>
      <c r="APS21" s="16"/>
      <c r="AQH21" s="16"/>
      <c r="AQW21" s="16"/>
      <c r="ARL21" s="16"/>
      <c r="ASA21" s="16"/>
      <c r="ASP21" s="16"/>
      <c r="ATE21" s="16"/>
      <c r="ATT21" s="16"/>
      <c r="AUI21" s="16"/>
      <c r="AUX21" s="16"/>
      <c r="AVM21" s="16"/>
      <c r="AWB21" s="16"/>
      <c r="AWQ21" s="16"/>
      <c r="AXF21" s="16"/>
      <c r="AXU21" s="16"/>
      <c r="AYJ21" s="16"/>
      <c r="AYY21" s="16"/>
      <c r="AZN21" s="16"/>
      <c r="BAC21" s="16"/>
      <c r="BAR21" s="16"/>
      <c r="BBG21" s="16"/>
      <c r="BBV21" s="16"/>
      <c r="BCK21" s="16"/>
      <c r="BCZ21" s="16"/>
      <c r="BDO21" s="16"/>
      <c r="BED21" s="16"/>
      <c r="BES21" s="16"/>
      <c r="BFH21" s="16"/>
      <c r="BFW21" s="16"/>
      <c r="BGL21" s="16"/>
      <c r="BHA21" s="16"/>
      <c r="BHP21" s="16"/>
      <c r="BIE21" s="16"/>
      <c r="BIT21" s="16"/>
      <c r="BJI21" s="16"/>
      <c r="BJX21" s="16"/>
      <c r="BKM21" s="16"/>
      <c r="BLB21" s="16"/>
      <c r="BLQ21" s="16"/>
      <c r="BMF21" s="16"/>
      <c r="BMU21" s="16"/>
      <c r="BNJ21" s="16"/>
      <c r="BNY21" s="16"/>
      <c r="BON21" s="16"/>
      <c r="BPC21" s="16"/>
      <c r="BPR21" s="16"/>
      <c r="BQG21" s="16"/>
      <c r="BQV21" s="16"/>
      <c r="BRK21" s="16"/>
      <c r="BRZ21" s="16"/>
      <c r="BSO21" s="16"/>
      <c r="BTD21" s="16"/>
      <c r="BTS21" s="16"/>
      <c r="BUH21" s="16"/>
      <c r="BUW21" s="16"/>
      <c r="BVL21" s="16"/>
      <c r="BWA21" s="16"/>
      <c r="BWP21" s="16"/>
      <c r="BXE21" s="16"/>
      <c r="BXT21" s="16"/>
      <c r="BYI21" s="16"/>
      <c r="BYX21" s="16"/>
      <c r="BZM21" s="16"/>
      <c r="CAB21" s="16"/>
      <c r="CAQ21" s="16"/>
      <c r="CBF21" s="16"/>
      <c r="CBU21" s="16"/>
      <c r="CCJ21" s="16"/>
      <c r="CCY21" s="16"/>
      <c r="CDN21" s="16"/>
      <c r="CEC21" s="16"/>
      <c r="CER21" s="16"/>
      <c r="CFG21" s="16"/>
      <c r="CFV21" s="16"/>
      <c r="CGK21" s="16"/>
      <c r="CGZ21" s="16"/>
      <c r="CHO21" s="16"/>
      <c r="CID21" s="16"/>
      <c r="CIS21" s="16"/>
      <c r="CJH21" s="16"/>
      <c r="CJW21" s="16"/>
      <c r="CKL21" s="16"/>
      <c r="CLA21" s="16"/>
      <c r="CLP21" s="16"/>
      <c r="CME21" s="16"/>
      <c r="CMT21" s="16"/>
      <c r="CNI21" s="16"/>
      <c r="CNX21" s="16"/>
      <c r="COM21" s="16"/>
      <c r="CPB21" s="16"/>
      <c r="CPQ21" s="16"/>
      <c r="CQF21" s="16"/>
      <c r="CQU21" s="16"/>
      <c r="CRJ21" s="16"/>
      <c r="CRY21" s="16"/>
      <c r="CSN21" s="16"/>
      <c r="CTC21" s="16"/>
      <c r="CTR21" s="16"/>
      <c r="CUG21" s="16"/>
      <c r="CUV21" s="16"/>
      <c r="CVK21" s="16"/>
      <c r="CVZ21" s="16"/>
      <c r="CWO21" s="16"/>
      <c r="CXD21" s="16"/>
      <c r="CXS21" s="16"/>
      <c r="CYH21" s="16"/>
      <c r="CYW21" s="16"/>
      <c r="CZL21" s="16"/>
      <c r="DAA21" s="16"/>
      <c r="DAP21" s="16"/>
      <c r="DBE21" s="16"/>
      <c r="DBT21" s="16"/>
      <c r="DCI21" s="16"/>
      <c r="DCX21" s="16"/>
      <c r="DDM21" s="16"/>
      <c r="DEB21" s="16"/>
      <c r="DEQ21" s="16"/>
      <c r="DFF21" s="16"/>
      <c r="DFU21" s="16"/>
      <c r="DGJ21" s="16"/>
      <c r="DGY21" s="16"/>
      <c r="DHN21" s="16"/>
      <c r="DIC21" s="16"/>
      <c r="DIR21" s="16"/>
      <c r="DJG21" s="16"/>
      <c r="DJV21" s="16"/>
      <c r="DKK21" s="16"/>
      <c r="DKZ21" s="16"/>
      <c r="DLO21" s="16"/>
      <c r="DMD21" s="16"/>
      <c r="DMS21" s="16"/>
      <c r="DNH21" s="16"/>
      <c r="DNW21" s="16"/>
      <c r="DOL21" s="16"/>
      <c r="DPA21" s="16"/>
      <c r="DPP21" s="16"/>
      <c r="DQE21" s="16"/>
      <c r="DQT21" s="16"/>
      <c r="DRI21" s="16"/>
      <c r="DRX21" s="16"/>
      <c r="DSM21" s="16"/>
      <c r="DTB21" s="16"/>
      <c r="DTQ21" s="16"/>
      <c r="DUF21" s="16"/>
      <c r="DUU21" s="16"/>
      <c r="DVJ21" s="16"/>
      <c r="DVY21" s="16"/>
      <c r="DWN21" s="16"/>
      <c r="DXC21" s="16"/>
      <c r="DXR21" s="16"/>
      <c r="DYG21" s="16"/>
      <c r="DYV21" s="16"/>
      <c r="DZK21" s="16"/>
      <c r="DZZ21" s="16"/>
      <c r="EAO21" s="16"/>
      <c r="EBD21" s="16"/>
      <c r="EBS21" s="16"/>
      <c r="ECH21" s="16"/>
      <c r="ECW21" s="16"/>
      <c r="EDL21" s="16"/>
      <c r="EEA21" s="16"/>
      <c r="EEP21" s="16"/>
      <c r="EFE21" s="16"/>
      <c r="EFT21" s="16"/>
      <c r="EGI21" s="16"/>
      <c r="EGX21" s="16"/>
      <c r="EHM21" s="16"/>
      <c r="EIB21" s="16"/>
      <c r="EIQ21" s="16"/>
      <c r="EJF21" s="16"/>
      <c r="EJU21" s="16"/>
      <c r="EKJ21" s="16"/>
      <c r="EKY21" s="16"/>
      <c r="ELN21" s="16"/>
      <c r="EMC21" s="16"/>
      <c r="EMR21" s="16"/>
      <c r="ENG21" s="16"/>
      <c r="ENV21" s="16"/>
      <c r="EOK21" s="16"/>
      <c r="EOZ21" s="16"/>
      <c r="EPO21" s="16"/>
      <c r="EQD21" s="16"/>
      <c r="EQS21" s="16"/>
      <c r="ERH21" s="16"/>
      <c r="ERW21" s="16"/>
      <c r="ESL21" s="16"/>
      <c r="ETA21" s="16"/>
      <c r="ETP21" s="16"/>
      <c r="EUE21" s="16"/>
      <c r="EUT21" s="16"/>
      <c r="EVI21" s="16"/>
      <c r="EVX21" s="16"/>
      <c r="EWM21" s="16"/>
      <c r="EXB21" s="16"/>
      <c r="EXQ21" s="16"/>
      <c r="EYF21" s="16"/>
      <c r="EYU21" s="16"/>
      <c r="EZJ21" s="16"/>
      <c r="EZY21" s="16"/>
      <c r="FAN21" s="16"/>
      <c r="FBC21" s="16"/>
      <c r="FBR21" s="16"/>
      <c r="FCG21" s="16"/>
      <c r="FCV21" s="16"/>
      <c r="FDK21" s="16"/>
      <c r="FDZ21" s="16"/>
      <c r="FEO21" s="16"/>
      <c r="FFD21" s="16"/>
      <c r="FFS21" s="16"/>
      <c r="FGH21" s="16"/>
      <c r="FGW21" s="16"/>
      <c r="FHL21" s="16"/>
      <c r="FIA21" s="16"/>
      <c r="FIP21" s="16"/>
      <c r="FJE21" s="16"/>
      <c r="FJT21" s="16"/>
      <c r="FKI21" s="16"/>
      <c r="FKX21" s="16"/>
      <c r="FLM21" s="16"/>
      <c r="FMB21" s="16"/>
      <c r="FMQ21" s="16"/>
      <c r="FNF21" s="16"/>
      <c r="FNU21" s="16"/>
      <c r="FOJ21" s="16"/>
      <c r="FOY21" s="16"/>
      <c r="FPN21" s="16"/>
      <c r="FQC21" s="16"/>
      <c r="FQR21" s="16"/>
      <c r="FRG21" s="16"/>
      <c r="FRV21" s="16"/>
      <c r="FSK21" s="16"/>
      <c r="FSZ21" s="16"/>
      <c r="FTO21" s="16"/>
      <c r="FUD21" s="16"/>
      <c r="FUS21" s="16"/>
      <c r="FVH21" s="16"/>
      <c r="FVW21" s="16"/>
      <c r="FWL21" s="16"/>
      <c r="FXA21" s="16"/>
      <c r="FXP21" s="16"/>
      <c r="FYE21" s="16"/>
      <c r="FYT21" s="16"/>
      <c r="FZI21" s="16"/>
      <c r="FZX21" s="16"/>
      <c r="GAM21" s="16"/>
      <c r="GBB21" s="16"/>
      <c r="GBQ21" s="16"/>
      <c r="GCF21" s="16"/>
      <c r="GCU21" s="16"/>
      <c r="GDJ21" s="16"/>
      <c r="GDY21" s="16"/>
      <c r="GEN21" s="16"/>
      <c r="GFC21" s="16"/>
      <c r="GFR21" s="16"/>
      <c r="GGG21" s="16"/>
      <c r="GGV21" s="16"/>
      <c r="GHK21" s="16"/>
      <c r="GHZ21" s="16"/>
      <c r="GIO21" s="16"/>
      <c r="GJD21" s="16"/>
      <c r="GJS21" s="16"/>
      <c r="GKH21" s="16"/>
      <c r="GKW21" s="16"/>
      <c r="GLL21" s="16"/>
      <c r="GMA21" s="16"/>
      <c r="GMP21" s="16"/>
      <c r="GNE21" s="16"/>
      <c r="GNT21" s="16"/>
      <c r="GOI21" s="16"/>
      <c r="GOX21" s="16"/>
      <c r="GPM21" s="16"/>
      <c r="GQB21" s="16"/>
      <c r="GQQ21" s="16"/>
      <c r="GRF21" s="16"/>
      <c r="GRU21" s="16"/>
      <c r="GSJ21" s="16"/>
      <c r="GSY21" s="16"/>
      <c r="GTN21" s="16"/>
      <c r="GUC21" s="16"/>
      <c r="GUR21" s="16"/>
      <c r="GVG21" s="16"/>
      <c r="GVV21" s="16"/>
      <c r="GWK21" s="16"/>
      <c r="GWZ21" s="16"/>
      <c r="GXO21" s="16"/>
      <c r="GYD21" s="16"/>
      <c r="GYS21" s="16"/>
      <c r="GZH21" s="16"/>
      <c r="GZW21" s="16"/>
      <c r="HAL21" s="16"/>
      <c r="HBA21" s="16"/>
      <c r="HBP21" s="16"/>
      <c r="HCE21" s="16"/>
      <c r="HCT21" s="16"/>
      <c r="HDI21" s="16"/>
      <c r="HDX21" s="16"/>
      <c r="HEM21" s="16"/>
      <c r="HFB21" s="16"/>
      <c r="HFQ21" s="16"/>
      <c r="HGF21" s="16"/>
      <c r="HGU21" s="16"/>
      <c r="HHJ21" s="16"/>
      <c r="HHY21" s="16"/>
      <c r="HIN21" s="16"/>
      <c r="HJC21" s="16"/>
      <c r="HJR21" s="16"/>
      <c r="HKG21" s="16"/>
      <c r="HKV21" s="16"/>
      <c r="HLK21" s="16"/>
      <c r="HLZ21" s="16"/>
      <c r="HMO21" s="16"/>
      <c r="HND21" s="16"/>
      <c r="HNS21" s="16"/>
      <c r="HOH21" s="16"/>
      <c r="HOW21" s="16"/>
      <c r="HPL21" s="16"/>
      <c r="HQA21" s="16"/>
      <c r="HQP21" s="16"/>
      <c r="HRE21" s="16"/>
      <c r="HRT21" s="16"/>
      <c r="HSI21" s="16"/>
      <c r="HSX21" s="16"/>
      <c r="HTM21" s="16"/>
      <c r="HUB21" s="16"/>
      <c r="HUQ21" s="16"/>
      <c r="HVF21" s="16"/>
      <c r="HVU21" s="16"/>
      <c r="HWJ21" s="16"/>
      <c r="HWY21" s="16"/>
      <c r="HXN21" s="16"/>
      <c r="HYC21" s="16"/>
      <c r="HYR21" s="16"/>
      <c r="HZG21" s="16"/>
      <c r="HZV21" s="16"/>
      <c r="IAK21" s="16"/>
      <c r="IAZ21" s="16"/>
      <c r="IBO21" s="16"/>
      <c r="ICD21" s="16"/>
      <c r="ICS21" s="16"/>
      <c r="IDH21" s="16"/>
      <c r="IDW21" s="16"/>
      <c r="IEL21" s="16"/>
      <c r="IFA21" s="16"/>
      <c r="IFP21" s="16"/>
      <c r="IGE21" s="16"/>
      <c r="IGT21" s="16"/>
      <c r="IHI21" s="16"/>
      <c r="IHX21" s="16"/>
      <c r="IIM21" s="16"/>
      <c r="IJB21" s="16"/>
      <c r="IJQ21" s="16"/>
      <c r="IKF21" s="16"/>
      <c r="IKU21" s="16"/>
      <c r="ILJ21" s="16"/>
      <c r="ILY21" s="16"/>
      <c r="IMN21" s="16"/>
      <c r="INC21" s="16"/>
      <c r="INR21" s="16"/>
      <c r="IOG21" s="16"/>
      <c r="IOV21" s="16"/>
      <c r="IPK21" s="16"/>
      <c r="IPZ21" s="16"/>
      <c r="IQO21" s="16"/>
      <c r="IRD21" s="16"/>
      <c r="IRS21" s="16"/>
      <c r="ISH21" s="16"/>
      <c r="ISW21" s="16"/>
      <c r="ITL21" s="16"/>
      <c r="IUA21" s="16"/>
      <c r="IUP21" s="16"/>
      <c r="IVE21" s="16"/>
      <c r="IVT21" s="16"/>
      <c r="IWI21" s="16"/>
      <c r="IWX21" s="16"/>
      <c r="IXM21" s="16"/>
      <c r="IYB21" s="16"/>
      <c r="IYQ21" s="16"/>
      <c r="IZF21" s="16"/>
      <c r="IZU21" s="16"/>
      <c r="JAJ21" s="16"/>
      <c r="JAY21" s="16"/>
      <c r="JBN21" s="16"/>
      <c r="JCC21" s="16"/>
      <c r="JCR21" s="16"/>
      <c r="JDG21" s="16"/>
      <c r="JDV21" s="16"/>
      <c r="JEK21" s="16"/>
      <c r="JEZ21" s="16"/>
      <c r="JFO21" s="16"/>
      <c r="JGD21" s="16"/>
      <c r="JGS21" s="16"/>
      <c r="JHH21" s="16"/>
      <c r="JHW21" s="16"/>
      <c r="JIL21" s="16"/>
      <c r="JJA21" s="16"/>
      <c r="JJP21" s="16"/>
      <c r="JKE21" s="16"/>
      <c r="JKT21" s="16"/>
      <c r="JLI21" s="16"/>
      <c r="JLX21" s="16"/>
      <c r="JMM21" s="16"/>
      <c r="JNB21" s="16"/>
      <c r="JNQ21" s="16"/>
      <c r="JOF21" s="16"/>
      <c r="JOU21" s="16"/>
      <c r="JPJ21" s="16"/>
      <c r="JPY21" s="16"/>
      <c r="JQN21" s="16"/>
      <c r="JRC21" s="16"/>
      <c r="JRR21" s="16"/>
      <c r="JSG21" s="16"/>
      <c r="JSV21" s="16"/>
      <c r="JTK21" s="16"/>
      <c r="JTZ21" s="16"/>
      <c r="JUO21" s="16"/>
      <c r="JVD21" s="16"/>
      <c r="JVS21" s="16"/>
      <c r="JWH21" s="16"/>
      <c r="JWW21" s="16"/>
      <c r="JXL21" s="16"/>
      <c r="JYA21" s="16"/>
      <c r="JYP21" s="16"/>
      <c r="JZE21" s="16"/>
      <c r="JZT21" s="16"/>
      <c r="KAI21" s="16"/>
      <c r="KAX21" s="16"/>
      <c r="KBM21" s="16"/>
      <c r="KCB21" s="16"/>
      <c r="KCQ21" s="16"/>
      <c r="KDF21" s="16"/>
      <c r="KDU21" s="16"/>
      <c r="KEJ21" s="16"/>
      <c r="KEY21" s="16"/>
      <c r="KFN21" s="16"/>
      <c r="KGC21" s="16"/>
      <c r="KGR21" s="16"/>
      <c r="KHG21" s="16"/>
      <c r="KHV21" s="16"/>
      <c r="KIK21" s="16"/>
      <c r="KIZ21" s="16"/>
      <c r="KJO21" s="16"/>
      <c r="KKD21" s="16"/>
      <c r="KKS21" s="16"/>
      <c r="KLH21" s="16"/>
      <c r="KLW21" s="16"/>
      <c r="KML21" s="16"/>
      <c r="KNA21" s="16"/>
      <c r="KNP21" s="16"/>
      <c r="KOE21" s="16"/>
      <c r="KOT21" s="16"/>
      <c r="KPI21" s="16"/>
      <c r="KPX21" s="16"/>
      <c r="KQM21" s="16"/>
      <c r="KRB21" s="16"/>
      <c r="KRQ21" s="16"/>
      <c r="KSF21" s="16"/>
      <c r="KSU21" s="16"/>
      <c r="KTJ21" s="16"/>
      <c r="KTY21" s="16"/>
      <c r="KUN21" s="16"/>
      <c r="KVC21" s="16"/>
      <c r="KVR21" s="16"/>
      <c r="KWG21" s="16"/>
      <c r="KWV21" s="16"/>
      <c r="KXK21" s="16"/>
      <c r="KXZ21" s="16"/>
      <c r="KYO21" s="16"/>
      <c r="KZD21" s="16"/>
      <c r="KZS21" s="16"/>
      <c r="LAH21" s="16"/>
      <c r="LAW21" s="16"/>
      <c r="LBL21" s="16"/>
      <c r="LCA21" s="16"/>
      <c r="LCP21" s="16"/>
      <c r="LDE21" s="16"/>
      <c r="LDT21" s="16"/>
      <c r="LEI21" s="16"/>
      <c r="LEX21" s="16"/>
      <c r="LFM21" s="16"/>
      <c r="LGB21" s="16"/>
      <c r="LGQ21" s="16"/>
      <c r="LHF21" s="16"/>
      <c r="LHU21" s="16"/>
      <c r="LIJ21" s="16"/>
      <c r="LIY21" s="16"/>
      <c r="LJN21" s="16"/>
      <c r="LKC21" s="16"/>
      <c r="LKR21" s="16"/>
      <c r="LLG21" s="16"/>
      <c r="LLV21" s="16"/>
      <c r="LMK21" s="16"/>
      <c r="LMZ21" s="16"/>
      <c r="LNO21" s="16"/>
      <c r="LOD21" s="16"/>
      <c r="LOS21" s="16"/>
      <c r="LPH21" s="16"/>
      <c r="LPW21" s="16"/>
      <c r="LQL21" s="16"/>
      <c r="LRA21" s="16"/>
      <c r="LRP21" s="16"/>
      <c r="LSE21" s="16"/>
      <c r="LST21" s="16"/>
      <c r="LTI21" s="16"/>
      <c r="LTX21" s="16"/>
      <c r="LUM21" s="16"/>
      <c r="LVB21" s="16"/>
      <c r="LVQ21" s="16"/>
      <c r="LWF21" s="16"/>
      <c r="LWU21" s="16"/>
      <c r="LXJ21" s="16"/>
      <c r="LXY21" s="16"/>
      <c r="LYN21" s="16"/>
      <c r="LZC21" s="16"/>
      <c r="LZR21" s="16"/>
      <c r="MAG21" s="16"/>
      <c r="MAV21" s="16"/>
      <c r="MBK21" s="16"/>
      <c r="MBZ21" s="16"/>
      <c r="MCO21" s="16"/>
      <c r="MDD21" s="16"/>
      <c r="MDS21" s="16"/>
      <c r="MEH21" s="16"/>
      <c r="MEW21" s="16"/>
      <c r="MFL21" s="16"/>
      <c r="MGA21" s="16"/>
      <c r="MGP21" s="16"/>
      <c r="MHE21" s="16"/>
      <c r="MHT21" s="16"/>
      <c r="MII21" s="16"/>
      <c r="MIX21" s="16"/>
      <c r="MJM21" s="16"/>
      <c r="MKB21" s="16"/>
      <c r="MKQ21" s="16"/>
      <c r="MLF21" s="16"/>
      <c r="MLU21" s="16"/>
      <c r="MMJ21" s="16"/>
      <c r="MMY21" s="16"/>
      <c r="MNN21" s="16"/>
      <c r="MOC21" s="16"/>
      <c r="MOR21" s="16"/>
      <c r="MPG21" s="16"/>
      <c r="MPV21" s="16"/>
      <c r="MQK21" s="16"/>
      <c r="MQZ21" s="16"/>
      <c r="MRO21" s="16"/>
      <c r="MSD21" s="16"/>
      <c r="MSS21" s="16"/>
      <c r="MTH21" s="16"/>
      <c r="MTW21" s="16"/>
      <c r="MUL21" s="16"/>
      <c r="MVA21" s="16"/>
      <c r="MVP21" s="16"/>
      <c r="MWE21" s="16"/>
      <c r="MWT21" s="16"/>
      <c r="MXI21" s="16"/>
      <c r="MXX21" s="16"/>
      <c r="MYM21" s="16"/>
      <c r="MZB21" s="16"/>
      <c r="MZQ21" s="16"/>
      <c r="NAF21" s="16"/>
      <c r="NAU21" s="16"/>
      <c r="NBJ21" s="16"/>
      <c r="NBY21" s="16"/>
      <c r="NCN21" s="16"/>
      <c r="NDC21" s="16"/>
      <c r="NDR21" s="16"/>
      <c r="NEG21" s="16"/>
      <c r="NEV21" s="16"/>
      <c r="NFK21" s="16"/>
      <c r="NFZ21" s="16"/>
      <c r="NGO21" s="16"/>
      <c r="NHD21" s="16"/>
      <c r="NHS21" s="16"/>
      <c r="NIH21" s="16"/>
      <c r="NIW21" s="16"/>
      <c r="NJL21" s="16"/>
      <c r="NKA21" s="16"/>
      <c r="NKP21" s="16"/>
      <c r="NLE21" s="16"/>
      <c r="NLT21" s="16"/>
      <c r="NMI21" s="16"/>
      <c r="NMX21" s="16"/>
      <c r="NNM21" s="16"/>
      <c r="NOB21" s="16"/>
      <c r="NOQ21" s="16"/>
      <c r="NPF21" s="16"/>
      <c r="NPU21" s="16"/>
      <c r="NQJ21" s="16"/>
      <c r="NQY21" s="16"/>
      <c r="NRN21" s="16"/>
      <c r="NSC21" s="16"/>
      <c r="NSR21" s="16"/>
      <c r="NTG21" s="16"/>
      <c r="NTV21" s="16"/>
      <c r="NUK21" s="16"/>
      <c r="NUZ21" s="16"/>
      <c r="NVO21" s="16"/>
      <c r="NWD21" s="16"/>
      <c r="NWS21" s="16"/>
      <c r="NXH21" s="16"/>
      <c r="NXW21" s="16"/>
      <c r="NYL21" s="16"/>
      <c r="NZA21" s="16"/>
      <c r="NZP21" s="16"/>
      <c r="OAE21" s="16"/>
      <c r="OAT21" s="16"/>
      <c r="OBI21" s="16"/>
      <c r="OBX21" s="16"/>
      <c r="OCM21" s="16"/>
      <c r="ODB21" s="16"/>
      <c r="ODQ21" s="16"/>
      <c r="OEF21" s="16"/>
      <c r="OEU21" s="16"/>
      <c r="OFJ21" s="16"/>
      <c r="OFY21" s="16"/>
      <c r="OGN21" s="16"/>
      <c r="OHC21" s="16"/>
      <c r="OHR21" s="16"/>
      <c r="OIG21" s="16"/>
      <c r="OIV21" s="16"/>
      <c r="OJK21" s="16"/>
      <c r="OJZ21" s="16"/>
      <c r="OKO21" s="16"/>
      <c r="OLD21" s="16"/>
      <c r="OLS21" s="16"/>
      <c r="OMH21" s="16"/>
      <c r="OMW21" s="16"/>
      <c r="ONL21" s="16"/>
      <c r="OOA21" s="16"/>
      <c r="OOP21" s="16"/>
      <c r="OPE21" s="16"/>
      <c r="OPT21" s="16"/>
      <c r="OQI21" s="16"/>
      <c r="OQX21" s="16"/>
      <c r="ORM21" s="16"/>
      <c r="OSB21" s="16"/>
      <c r="OSQ21" s="16"/>
      <c r="OTF21" s="16"/>
      <c r="OTU21" s="16"/>
      <c r="OUJ21" s="16"/>
      <c r="OUY21" s="16"/>
      <c r="OVN21" s="16"/>
      <c r="OWC21" s="16"/>
      <c r="OWR21" s="16"/>
      <c r="OXG21" s="16"/>
      <c r="OXV21" s="16"/>
      <c r="OYK21" s="16"/>
      <c r="OYZ21" s="16"/>
      <c r="OZO21" s="16"/>
      <c r="PAD21" s="16"/>
      <c r="PAS21" s="16"/>
      <c r="PBH21" s="16"/>
      <c r="PBW21" s="16"/>
      <c r="PCL21" s="16"/>
      <c r="PDA21" s="16"/>
      <c r="PDP21" s="16"/>
      <c r="PEE21" s="16"/>
      <c r="PET21" s="16"/>
      <c r="PFI21" s="16"/>
      <c r="PFX21" s="16"/>
      <c r="PGM21" s="16"/>
      <c r="PHB21" s="16"/>
      <c r="PHQ21" s="16"/>
      <c r="PIF21" s="16"/>
      <c r="PIU21" s="16"/>
      <c r="PJJ21" s="16"/>
      <c r="PJY21" s="16"/>
      <c r="PKN21" s="16"/>
      <c r="PLC21" s="16"/>
      <c r="PLR21" s="16"/>
      <c r="PMG21" s="16"/>
      <c r="PMV21" s="16"/>
      <c r="PNK21" s="16"/>
      <c r="PNZ21" s="16"/>
      <c r="POO21" s="16"/>
      <c r="PPD21" s="16"/>
      <c r="PPS21" s="16"/>
      <c r="PQH21" s="16"/>
      <c r="PQW21" s="16"/>
      <c r="PRL21" s="16"/>
      <c r="PSA21" s="16"/>
      <c r="PSP21" s="16"/>
      <c r="PTE21" s="16"/>
      <c r="PTT21" s="16"/>
      <c r="PUI21" s="16"/>
      <c r="PUX21" s="16"/>
      <c r="PVM21" s="16"/>
      <c r="PWB21" s="16"/>
      <c r="PWQ21" s="16"/>
      <c r="PXF21" s="16"/>
      <c r="PXU21" s="16"/>
      <c r="PYJ21" s="16"/>
      <c r="PYY21" s="16"/>
      <c r="PZN21" s="16"/>
      <c r="QAC21" s="16"/>
      <c r="QAR21" s="16"/>
      <c r="QBG21" s="16"/>
      <c r="QBV21" s="16"/>
      <c r="QCK21" s="16"/>
      <c r="QCZ21" s="16"/>
      <c r="QDO21" s="16"/>
      <c r="QED21" s="16"/>
      <c r="QES21" s="16"/>
      <c r="QFH21" s="16"/>
      <c r="QFW21" s="16"/>
      <c r="QGL21" s="16"/>
      <c r="QHA21" s="16"/>
      <c r="QHP21" s="16"/>
      <c r="QIE21" s="16"/>
      <c r="QIT21" s="16"/>
      <c r="QJI21" s="16"/>
      <c r="QJX21" s="16"/>
      <c r="QKM21" s="16"/>
      <c r="QLB21" s="16"/>
      <c r="QLQ21" s="16"/>
      <c r="QMF21" s="16"/>
      <c r="QMU21" s="16"/>
      <c r="QNJ21" s="16"/>
      <c r="QNY21" s="16"/>
      <c r="QON21" s="16"/>
      <c r="QPC21" s="16"/>
      <c r="QPR21" s="16"/>
      <c r="QQG21" s="16"/>
      <c r="QQV21" s="16"/>
      <c r="QRK21" s="16"/>
      <c r="QRZ21" s="16"/>
      <c r="QSO21" s="16"/>
      <c r="QTD21" s="16"/>
      <c r="QTS21" s="16"/>
      <c r="QUH21" s="16"/>
      <c r="QUW21" s="16"/>
      <c r="QVL21" s="16"/>
      <c r="QWA21" s="16"/>
      <c r="QWP21" s="16"/>
      <c r="QXE21" s="16"/>
      <c r="QXT21" s="16"/>
      <c r="QYI21" s="16"/>
      <c r="QYX21" s="16"/>
      <c r="QZM21" s="16"/>
      <c r="RAB21" s="16"/>
      <c r="RAQ21" s="16"/>
      <c r="RBF21" s="16"/>
      <c r="RBU21" s="16"/>
      <c r="RCJ21" s="16"/>
      <c r="RCY21" s="16"/>
      <c r="RDN21" s="16"/>
      <c r="REC21" s="16"/>
      <c r="RER21" s="16"/>
      <c r="RFG21" s="16"/>
      <c r="RFV21" s="16"/>
      <c r="RGK21" s="16"/>
      <c r="RGZ21" s="16"/>
      <c r="RHO21" s="16"/>
      <c r="RID21" s="16"/>
      <c r="RIS21" s="16"/>
      <c r="RJH21" s="16"/>
      <c r="RJW21" s="16"/>
      <c r="RKL21" s="16"/>
      <c r="RLA21" s="16"/>
      <c r="RLP21" s="16"/>
      <c r="RME21" s="16"/>
      <c r="RMT21" s="16"/>
      <c r="RNI21" s="16"/>
      <c r="RNX21" s="16"/>
      <c r="ROM21" s="16"/>
      <c r="RPB21" s="16"/>
      <c r="RPQ21" s="16"/>
      <c r="RQF21" s="16"/>
      <c r="RQU21" s="16"/>
      <c r="RRJ21" s="16"/>
      <c r="RRY21" s="16"/>
      <c r="RSN21" s="16"/>
      <c r="RTC21" s="16"/>
      <c r="RTR21" s="16"/>
      <c r="RUG21" s="16"/>
      <c r="RUV21" s="16"/>
      <c r="RVK21" s="16"/>
      <c r="RVZ21" s="16"/>
      <c r="RWO21" s="16"/>
      <c r="RXD21" s="16"/>
      <c r="RXS21" s="16"/>
      <c r="RYH21" s="16"/>
      <c r="RYW21" s="16"/>
      <c r="RZL21" s="16"/>
      <c r="SAA21" s="16"/>
      <c r="SAP21" s="16"/>
      <c r="SBE21" s="16"/>
      <c r="SBT21" s="16"/>
      <c r="SCI21" s="16"/>
      <c r="SCX21" s="16"/>
      <c r="SDM21" s="16"/>
      <c r="SEB21" s="16"/>
      <c r="SEQ21" s="16"/>
      <c r="SFF21" s="16"/>
      <c r="SFU21" s="16"/>
      <c r="SGJ21" s="16"/>
      <c r="SGY21" s="16"/>
      <c r="SHN21" s="16"/>
      <c r="SIC21" s="16"/>
      <c r="SIR21" s="16"/>
      <c r="SJG21" s="16"/>
      <c r="SJV21" s="16"/>
      <c r="SKK21" s="16"/>
      <c r="SKZ21" s="16"/>
      <c r="SLO21" s="16"/>
      <c r="SMD21" s="16"/>
      <c r="SMS21" s="16"/>
      <c r="SNH21" s="16"/>
      <c r="SNW21" s="16"/>
      <c r="SOL21" s="16"/>
      <c r="SPA21" s="16"/>
      <c r="SPP21" s="16"/>
      <c r="SQE21" s="16"/>
      <c r="SQT21" s="16"/>
      <c r="SRI21" s="16"/>
      <c r="SRX21" s="16"/>
      <c r="SSM21" s="16"/>
      <c r="STB21" s="16"/>
      <c r="STQ21" s="16"/>
      <c r="SUF21" s="16"/>
      <c r="SUU21" s="16"/>
      <c r="SVJ21" s="16"/>
      <c r="SVY21" s="16"/>
      <c r="SWN21" s="16"/>
      <c r="SXC21" s="16"/>
      <c r="SXR21" s="16"/>
      <c r="SYG21" s="16"/>
      <c r="SYV21" s="16"/>
      <c r="SZK21" s="16"/>
      <c r="SZZ21" s="16"/>
      <c r="TAO21" s="16"/>
      <c r="TBD21" s="16"/>
      <c r="TBS21" s="16"/>
      <c r="TCH21" s="16"/>
      <c r="TCW21" s="16"/>
      <c r="TDL21" s="16"/>
      <c r="TEA21" s="16"/>
      <c r="TEP21" s="16"/>
      <c r="TFE21" s="16"/>
      <c r="TFT21" s="16"/>
      <c r="TGI21" s="16"/>
      <c r="TGX21" s="16"/>
      <c r="THM21" s="16"/>
      <c r="TIB21" s="16"/>
      <c r="TIQ21" s="16"/>
      <c r="TJF21" s="16"/>
      <c r="TJU21" s="16"/>
      <c r="TKJ21" s="16"/>
      <c r="TKY21" s="16"/>
      <c r="TLN21" s="16"/>
      <c r="TMC21" s="16"/>
      <c r="TMR21" s="16"/>
      <c r="TNG21" s="16"/>
      <c r="TNV21" s="16"/>
      <c r="TOK21" s="16"/>
      <c r="TOZ21" s="16"/>
      <c r="TPO21" s="16"/>
      <c r="TQD21" s="16"/>
      <c r="TQS21" s="16"/>
      <c r="TRH21" s="16"/>
      <c r="TRW21" s="16"/>
      <c r="TSL21" s="16"/>
      <c r="TTA21" s="16"/>
      <c r="TTP21" s="16"/>
      <c r="TUE21" s="16"/>
      <c r="TUT21" s="16"/>
      <c r="TVI21" s="16"/>
      <c r="TVX21" s="16"/>
      <c r="TWM21" s="16"/>
      <c r="TXB21" s="16"/>
      <c r="TXQ21" s="16"/>
      <c r="TYF21" s="16"/>
      <c r="TYU21" s="16"/>
      <c r="TZJ21" s="16"/>
      <c r="TZY21" s="16"/>
      <c r="UAN21" s="16"/>
      <c r="UBC21" s="16"/>
      <c r="UBR21" s="16"/>
      <c r="UCG21" s="16"/>
      <c r="UCV21" s="16"/>
      <c r="UDK21" s="16"/>
      <c r="UDZ21" s="16"/>
      <c r="UEO21" s="16"/>
      <c r="UFD21" s="16"/>
      <c r="UFS21" s="16"/>
      <c r="UGH21" s="16"/>
      <c r="UGW21" s="16"/>
      <c r="UHL21" s="16"/>
      <c r="UIA21" s="16"/>
      <c r="UIP21" s="16"/>
      <c r="UJE21" s="16"/>
      <c r="UJT21" s="16"/>
      <c r="UKI21" s="16"/>
      <c r="UKX21" s="16"/>
      <c r="ULM21" s="16"/>
      <c r="UMB21" s="16"/>
      <c r="UMQ21" s="16"/>
      <c r="UNF21" s="16"/>
      <c r="UNU21" s="16"/>
      <c r="UOJ21" s="16"/>
      <c r="UOY21" s="16"/>
      <c r="UPN21" s="16"/>
      <c r="UQC21" s="16"/>
      <c r="UQR21" s="16"/>
      <c r="URG21" s="16"/>
      <c r="URV21" s="16"/>
      <c r="USK21" s="16"/>
      <c r="USZ21" s="16"/>
      <c r="UTO21" s="16"/>
      <c r="UUD21" s="16"/>
      <c r="UUS21" s="16"/>
      <c r="UVH21" s="16"/>
      <c r="UVW21" s="16"/>
      <c r="UWL21" s="16"/>
      <c r="UXA21" s="16"/>
      <c r="UXP21" s="16"/>
      <c r="UYE21" s="16"/>
      <c r="UYT21" s="16"/>
      <c r="UZI21" s="16"/>
      <c r="UZX21" s="16"/>
      <c r="VAM21" s="16"/>
      <c r="VBB21" s="16"/>
      <c r="VBQ21" s="16"/>
      <c r="VCF21" s="16"/>
      <c r="VCU21" s="16"/>
      <c r="VDJ21" s="16"/>
      <c r="VDY21" s="16"/>
      <c r="VEN21" s="16"/>
      <c r="VFC21" s="16"/>
      <c r="VFR21" s="16"/>
      <c r="VGG21" s="16"/>
      <c r="VGV21" s="16"/>
      <c r="VHK21" s="16"/>
      <c r="VHZ21" s="16"/>
      <c r="VIO21" s="16"/>
      <c r="VJD21" s="16"/>
      <c r="VJS21" s="16"/>
      <c r="VKH21" s="16"/>
      <c r="VKW21" s="16"/>
      <c r="VLL21" s="16"/>
      <c r="VMA21" s="16"/>
      <c r="VMP21" s="16"/>
      <c r="VNE21" s="16"/>
      <c r="VNT21" s="16"/>
      <c r="VOI21" s="16"/>
      <c r="VOX21" s="16"/>
      <c r="VPM21" s="16"/>
      <c r="VQB21" s="16"/>
      <c r="VQQ21" s="16"/>
      <c r="VRF21" s="16"/>
      <c r="VRU21" s="16"/>
      <c r="VSJ21" s="16"/>
      <c r="VSY21" s="16"/>
      <c r="VTN21" s="16"/>
      <c r="VUC21" s="16"/>
      <c r="VUR21" s="16"/>
      <c r="VVG21" s="16"/>
      <c r="VVV21" s="16"/>
      <c r="VWK21" s="16"/>
      <c r="VWZ21" s="16"/>
      <c r="VXO21" s="16"/>
      <c r="VYD21" s="16"/>
      <c r="VYS21" s="16"/>
      <c r="VZH21" s="16"/>
      <c r="VZW21" s="16"/>
      <c r="WAL21" s="16"/>
      <c r="WBA21" s="16"/>
      <c r="WBP21" s="16"/>
      <c r="WCE21" s="16"/>
      <c r="WCT21" s="16"/>
      <c r="WDI21" s="16"/>
      <c r="WDX21" s="16"/>
      <c r="WEM21" s="16"/>
      <c r="WFB21" s="16"/>
      <c r="WFQ21" s="16"/>
      <c r="WGF21" s="16"/>
      <c r="WGU21" s="16"/>
      <c r="WHJ21" s="16"/>
      <c r="WHY21" s="16"/>
      <c r="WIN21" s="16"/>
      <c r="WJC21" s="16"/>
      <c r="WJR21" s="16"/>
      <c r="WKG21" s="16"/>
      <c r="WKV21" s="16"/>
      <c r="WLK21" s="16"/>
      <c r="WLZ21" s="16"/>
      <c r="WMO21" s="16"/>
      <c r="WND21" s="16"/>
      <c r="WNS21" s="16"/>
      <c r="WOH21" s="16"/>
      <c r="WOW21" s="16"/>
      <c r="WPL21" s="16"/>
      <c r="WQA21" s="16"/>
      <c r="WQP21" s="16"/>
      <c r="WRE21" s="16"/>
      <c r="WRT21" s="16"/>
      <c r="WSI21" s="16"/>
      <c r="WSX21" s="16"/>
      <c r="WTM21" s="16"/>
      <c r="WUB21" s="16"/>
      <c r="WUQ21" s="16"/>
      <c r="WVF21" s="16"/>
      <c r="WVU21" s="16"/>
      <c r="WWJ21" s="16"/>
      <c r="WWY21" s="16"/>
      <c r="WXN21" s="16"/>
      <c r="WYC21" s="16"/>
      <c r="WYR21" s="16"/>
      <c r="WZG21" s="16"/>
      <c r="WZV21" s="16"/>
      <c r="XAK21" s="16"/>
      <c r="XAZ21" s="16"/>
      <c r="XBO21" s="16"/>
      <c r="XCD21" s="16"/>
      <c r="XCS21" s="16"/>
      <c r="XDH21" s="16"/>
      <c r="XDW21" s="16"/>
      <c r="XEL21" s="16"/>
      <c r="XFA21" s="16"/>
    </row>
    <row r="23" spans="1:1021 1036:2041 2056:3061 3076:4096 4111:5116 5131:6136 6151:7156 7171:8191 8206:9211 9226:10231 10246:11251 11266:12286 12301:13306 13321:14326 14341:15346 15361:16381" x14ac:dyDescent="0.3">
      <c r="A23" s="19" t="s">
        <v>57</v>
      </c>
      <c r="B23" s="16"/>
    </row>
    <row r="24" spans="1:1021 1036:2041 2056:3061 3076:4096 4111:5116 5131:6136 6151:7156 7171:8191 8206:9211 9226:10231 10246:11251 11266:12286 12301:13306 13321:14326 14341:15346 15361:16381" x14ac:dyDescent="0.3">
      <c r="A24" s="16" cm="1">
        <f t="array" ref="A24:O31">_xlfn.LET(_xlpm.completerange,
A1:O11,
_xlpm.headers,
_xlfn.TAKE(_xlpm.completerange,1),
_xlpm.data,
_xlfn.DROP(_xlpm.completerange,1),
_xlpm.filtered_data,
_xlfn._xlws.FILTER(_xlpm.data,_xlfn.BYROW(_xlpm.data,_xlfn.LAMBDA(_xlpm.array,COUNTA(_xlpm.array)))&lt;&gt;0),
IF(ISBLANK(_xlpm.filtered_data),"",_xlpm.filtered_data))</f>
        <v>41954</v>
      </c>
      <c r="B24" s="16">
        <v>41956</v>
      </c>
      <c r="C24" t="str">
        <v>Aaron Bergman</v>
      </c>
      <c r="D24" t="str">
        <v>Oklahoma City</v>
      </c>
      <c r="E24" t="str">
        <v>Oklahoma</v>
      </c>
      <c r="F24" t="str">
        <v>United States</v>
      </c>
      <c r="G24" t="str">
        <v>Central US</v>
      </c>
      <c r="H24" t="str">
        <v>USCA</v>
      </c>
      <c r="I24" t="str">
        <v>Technology</v>
      </c>
      <c r="J24" t="str">
        <v>Consumer</v>
      </c>
      <c r="K24" t="str">
        <v>Phones</v>
      </c>
      <c r="L24">
        <v>221.98</v>
      </c>
      <c r="M24">
        <v>2</v>
      </c>
      <c r="N24">
        <v>0</v>
      </c>
      <c r="O24">
        <v>62.15440000000001</v>
      </c>
    </row>
    <row r="25" spans="1:1021 1036:2041 2056:3061 3076:4096 4111:5116 5131:6136 6151:7156 7171:8191 8206:9211 9226:10231 10246:11251 11266:12286 12301:13306 13321:14326 14341:15346 15361:16381" x14ac:dyDescent="0.3">
      <c r="A25" s="16">
        <v>41929</v>
      </c>
      <c r="B25" s="16">
        <v>41930</v>
      </c>
      <c r="C25" t="str">
        <v>Craig Reiter</v>
      </c>
      <c r="D25" t="str">
        <v>Brisbane</v>
      </c>
      <c r="E25" t="str">
        <v>Queensland</v>
      </c>
      <c r="F25" t="str">
        <v>Australia</v>
      </c>
      <c r="G25" t="str">
        <v>Oceania</v>
      </c>
      <c r="H25" t="str">
        <v/>
      </c>
      <c r="I25" t="str">
        <v/>
      </c>
      <c r="J25" t="str">
        <v/>
      </c>
      <c r="K25" t="str">
        <v/>
      </c>
      <c r="L25" t="str">
        <v/>
      </c>
      <c r="M25" t="str">
        <v/>
      </c>
      <c r="N25" t="str">
        <v/>
      </c>
      <c r="O25" t="str">
        <v/>
      </c>
    </row>
    <row r="26" spans="1:1021 1036:2041 2056:3061 3076:4096 4111:5116 5131:6136 6151:7156 7171:8191 8206:9211 9226:10231 10246:11251 11266:12286 12301:13306 13321:14326 14341:15346 15361:16381" x14ac:dyDescent="0.3">
      <c r="A26" s="16">
        <v>41667</v>
      </c>
      <c r="B26" s="16">
        <v>41669</v>
      </c>
      <c r="C26" t="str">
        <v>Katherine Murray</v>
      </c>
      <c r="D26" t="str">
        <v>Berlin</v>
      </c>
      <c r="E26" t="str">
        <v>Berlin</v>
      </c>
      <c r="F26" t="str">
        <v>Germany</v>
      </c>
      <c r="G26" t="str">
        <v>Western Europe</v>
      </c>
      <c r="H26" t="str">
        <v>Europe</v>
      </c>
      <c r="I26" t="str">
        <v>Technology</v>
      </c>
      <c r="J26" t="str">
        <v>Home Office</v>
      </c>
      <c r="K26" t="str">
        <v>Phones</v>
      </c>
      <c r="L26">
        <v>2892.5099999999998</v>
      </c>
      <c r="M26">
        <v>5</v>
      </c>
      <c r="N26">
        <v>0.1</v>
      </c>
      <c r="O26">
        <v>-96.540000000000049</v>
      </c>
    </row>
    <row r="27" spans="1:1021 1036:2041 2056:3061 3076:4096 4111:5116 5131:6136 6151:7156 7171:8191 8206:9211 9226:10231 10246:11251 11266:12286 12301:13306 13321:14326 14341:15346 15361:16381" x14ac:dyDescent="0.3">
      <c r="A27" s="16">
        <v>41818</v>
      </c>
      <c r="B27" s="16">
        <v>41821</v>
      </c>
      <c r="C27" t="str">
        <v>Jim Mitchum</v>
      </c>
      <c r="D27" t="str">
        <v>Sydney</v>
      </c>
      <c r="E27" t="str">
        <v>New South Wales</v>
      </c>
      <c r="F27" t="str">
        <v>Australia</v>
      </c>
      <c r="G27" t="str">
        <v>Oceania</v>
      </c>
      <c r="H27" t="str">
        <v>Asia Pacific</v>
      </c>
      <c r="I27" t="str">
        <v>Technology</v>
      </c>
      <c r="J27" t="str">
        <v>Corporate</v>
      </c>
      <c r="K27" t="str">
        <v>Phones</v>
      </c>
      <c r="L27">
        <v>2862.6750000000002</v>
      </c>
      <c r="M27">
        <v>5</v>
      </c>
      <c r="N27">
        <v>0.1</v>
      </c>
      <c r="O27">
        <v>763.27500000000009</v>
      </c>
    </row>
    <row r="28" spans="1:1021 1036:2041 2056:3061 3076:4096 4111:5116 5131:6136 6151:7156 7171:8191 8206:9211 9226:10231 10246:11251 11266:12286 12301:13306 13321:14326 14341:15346 15361:16381" x14ac:dyDescent="0.3">
      <c r="A28" s="16">
        <v>41219</v>
      </c>
      <c r="B28" s="16">
        <v>41221</v>
      </c>
      <c r="C28" t="str">
        <v>Toby Swindell</v>
      </c>
      <c r="D28" t="str">
        <v>Porirua</v>
      </c>
      <c r="E28" t="str">
        <v>Wellington</v>
      </c>
      <c r="F28" t="str">
        <v>New Zealand</v>
      </c>
      <c r="G28" t="str">
        <v>Oceania</v>
      </c>
      <c r="H28" t="str">
        <v>Asia Pacific</v>
      </c>
      <c r="I28" t="str">
        <v>Furniture</v>
      </c>
      <c r="J28" t="str">
        <v>Consumer</v>
      </c>
      <c r="K28" t="str">
        <v>Chairs</v>
      </c>
      <c r="L28">
        <v>1822.0799999999997</v>
      </c>
      <c r="M28">
        <v>4</v>
      </c>
      <c r="N28">
        <v>0</v>
      </c>
      <c r="O28">
        <v>564.84</v>
      </c>
    </row>
    <row r="29" spans="1:1021 1036:2041 2056:3061 3076:4096 4111:5116 5131:6136 6151:7156 7171:8191 8206:9211 9226:10231 10246:11251 11266:12286 12301:13306 13321:14326 14341:15346 15361:16381" x14ac:dyDescent="0.3">
      <c r="A29" s="16" t="str">
        <v/>
      </c>
      <c r="B29" s="16">
        <v>41382</v>
      </c>
      <c r="C29" t="str">
        <v>Mick Brown</v>
      </c>
      <c r="D29" t="str">
        <v>Hamilton</v>
      </c>
      <c r="E29" t="str">
        <v>Waikato</v>
      </c>
      <c r="F29" t="str">
        <v>New Zealand</v>
      </c>
      <c r="G29" t="str">
        <v>Oceania</v>
      </c>
      <c r="H29" t="str">
        <v>Asia Pacific</v>
      </c>
      <c r="I29" t="str">
        <v>Furniture</v>
      </c>
      <c r="J29" t="str">
        <v>Consumer</v>
      </c>
      <c r="K29" t="str">
        <v>Tables</v>
      </c>
      <c r="L29">
        <v>5244.84</v>
      </c>
      <c r="M29">
        <v>6</v>
      </c>
      <c r="N29">
        <v>0</v>
      </c>
      <c r="O29">
        <v>996.4799999999999</v>
      </c>
    </row>
    <row r="30" spans="1:1021 1036:2041 2056:3061 3076:4096 4111:5116 5131:6136 6151:7156 7171:8191 8206:9211 9226:10231 10246:11251 11266:12286 12301:13306 13321:14326 14341:15346 15361:16381" x14ac:dyDescent="0.3">
      <c r="A30" s="16" t="str">
        <v/>
      </c>
      <c r="B30" s="16">
        <v>41956</v>
      </c>
      <c r="C30" t="str">
        <v>Aaron Bergman</v>
      </c>
      <c r="D30" t="str">
        <v>Oklahoma City</v>
      </c>
      <c r="E30" t="str">
        <v>Oklahoma</v>
      </c>
      <c r="F30" t="str">
        <v>United States</v>
      </c>
      <c r="G30" t="str">
        <v>Central US</v>
      </c>
      <c r="H30" t="str">
        <v>USCA</v>
      </c>
      <c r="I30" t="str">
        <v>Furniture</v>
      </c>
      <c r="J30" t="str">
        <v>Consumer</v>
      </c>
      <c r="K30" t="str">
        <v>Bookcases</v>
      </c>
      <c r="L30">
        <v>341.96</v>
      </c>
      <c r="M30">
        <v>2</v>
      </c>
      <c r="N30">
        <v>0</v>
      </c>
      <c r="O30">
        <v>54.713599999999985</v>
      </c>
    </row>
    <row r="31" spans="1:1021 1036:2041 2056:3061 3076:4096 4111:5116 5131:6136 6151:7156 7171:8191 8206:9211 9226:10231 10246:11251 11266:12286 12301:13306 13321:14326 14341:15346 15361:16381" x14ac:dyDescent="0.3">
      <c r="A31" s="16">
        <v>40974</v>
      </c>
      <c r="B31" s="16">
        <v>40975</v>
      </c>
      <c r="C31" t="str">
        <v>Aaron Bergman</v>
      </c>
      <c r="D31" t="str">
        <v>Seattle</v>
      </c>
      <c r="E31" t="str">
        <v>Washington</v>
      </c>
      <c r="F31" t="str">
        <v>United States</v>
      </c>
      <c r="G31" t="str">
        <v>Western US</v>
      </c>
      <c r="H31" t="str">
        <v>USCA</v>
      </c>
      <c r="I31" t="str">
        <v>Furniture</v>
      </c>
      <c r="J31" t="str">
        <v>Consumer</v>
      </c>
      <c r="K31" t="str">
        <v>Chairs</v>
      </c>
      <c r="L31">
        <v>48.712000000000003</v>
      </c>
      <c r="M31">
        <v>1</v>
      </c>
      <c r="N31">
        <v>0.2</v>
      </c>
      <c r="O31">
        <v>5.4800999999999966</v>
      </c>
    </row>
    <row r="34" spans="1:15" x14ac:dyDescent="0.3">
      <c r="A34" s="17"/>
    </row>
    <row r="35" spans="1:15" x14ac:dyDescent="0.3">
      <c r="A35" s="18" t="s">
        <v>58</v>
      </c>
    </row>
    <row r="36" spans="1:15" x14ac:dyDescent="0.3">
      <c r="A36" s="16" cm="1">
        <f t="array" ref="A36:O40">Remove_Rows_Single_Null(A1:O11)</f>
        <v>41954</v>
      </c>
      <c r="B36" s="16">
        <v>41956</v>
      </c>
      <c r="C36" t="str">
        <v>Aaron Bergman</v>
      </c>
      <c r="D36" t="str">
        <v>Oklahoma City</v>
      </c>
      <c r="E36" t="str">
        <v>Oklahoma</v>
      </c>
      <c r="F36" t="str">
        <v>United States</v>
      </c>
      <c r="G36" t="str">
        <v>Central US</v>
      </c>
      <c r="H36" t="str">
        <v>USCA</v>
      </c>
      <c r="I36" t="str">
        <v>Technology</v>
      </c>
      <c r="J36" t="str">
        <v>Consumer</v>
      </c>
      <c r="K36" t="str">
        <v>Phones</v>
      </c>
      <c r="L36">
        <v>221.98</v>
      </c>
      <c r="M36">
        <v>2</v>
      </c>
      <c r="N36">
        <v>0</v>
      </c>
      <c r="O36">
        <v>62.15440000000001</v>
      </c>
    </row>
    <row r="37" spans="1:15" x14ac:dyDescent="0.3">
      <c r="A37" s="16">
        <v>41667</v>
      </c>
      <c r="B37" s="16">
        <v>41669</v>
      </c>
      <c r="C37" t="str">
        <v>Katherine Murray</v>
      </c>
      <c r="D37" t="str">
        <v>Berlin</v>
      </c>
      <c r="E37" t="str">
        <v>Berlin</v>
      </c>
      <c r="F37" t="str">
        <v>Germany</v>
      </c>
      <c r="G37" t="str">
        <v>Western Europe</v>
      </c>
      <c r="H37" t="str">
        <v>Europe</v>
      </c>
      <c r="I37" t="str">
        <v>Technology</v>
      </c>
      <c r="J37" t="str">
        <v>Home Office</v>
      </c>
      <c r="K37" t="str">
        <v>Phones</v>
      </c>
      <c r="L37">
        <v>2892.5099999999998</v>
      </c>
      <c r="M37">
        <v>5</v>
      </c>
      <c r="N37">
        <v>0.1</v>
      </c>
      <c r="O37">
        <v>-96.540000000000049</v>
      </c>
    </row>
    <row r="38" spans="1:15" x14ac:dyDescent="0.3">
      <c r="A38" s="16">
        <v>41818</v>
      </c>
      <c r="B38" s="16">
        <v>41821</v>
      </c>
      <c r="C38" t="str">
        <v>Jim Mitchum</v>
      </c>
      <c r="D38" t="str">
        <v>Sydney</v>
      </c>
      <c r="E38" t="str">
        <v>New South Wales</v>
      </c>
      <c r="F38" t="str">
        <v>Australia</v>
      </c>
      <c r="G38" t="str">
        <v>Oceania</v>
      </c>
      <c r="H38" t="str">
        <v>Asia Pacific</v>
      </c>
      <c r="I38" t="str">
        <v>Technology</v>
      </c>
      <c r="J38" t="str">
        <v>Corporate</v>
      </c>
      <c r="K38" t="str">
        <v>Phones</v>
      </c>
      <c r="L38">
        <v>2862.6750000000002</v>
      </c>
      <c r="M38">
        <v>5</v>
      </c>
      <c r="N38">
        <v>0.1</v>
      </c>
      <c r="O38">
        <v>763.27500000000009</v>
      </c>
    </row>
    <row r="39" spans="1:15" x14ac:dyDescent="0.3">
      <c r="A39" s="16">
        <v>41219</v>
      </c>
      <c r="B39" s="16">
        <v>41221</v>
      </c>
      <c r="C39" t="str">
        <v>Toby Swindell</v>
      </c>
      <c r="D39" t="str">
        <v>Porirua</v>
      </c>
      <c r="E39" t="str">
        <v>Wellington</v>
      </c>
      <c r="F39" t="str">
        <v>New Zealand</v>
      </c>
      <c r="G39" t="str">
        <v>Oceania</v>
      </c>
      <c r="H39" t="str">
        <v>Asia Pacific</v>
      </c>
      <c r="I39" t="str">
        <v>Furniture</v>
      </c>
      <c r="J39" t="str">
        <v>Consumer</v>
      </c>
      <c r="K39" t="str">
        <v>Chairs</v>
      </c>
      <c r="L39">
        <v>1822.0799999999997</v>
      </c>
      <c r="M39">
        <v>4</v>
      </c>
      <c r="N39">
        <v>0</v>
      </c>
      <c r="O39">
        <v>564.84</v>
      </c>
    </row>
    <row r="40" spans="1:15" x14ac:dyDescent="0.3">
      <c r="A40" s="16">
        <v>40974</v>
      </c>
      <c r="B40" s="16">
        <v>40975</v>
      </c>
      <c r="C40" t="str">
        <v>Aaron Bergman</v>
      </c>
      <c r="D40" t="str">
        <v>Seattle</v>
      </c>
      <c r="E40" t="str">
        <v>Washington</v>
      </c>
      <c r="F40" t="str">
        <v>United States</v>
      </c>
      <c r="G40" t="str">
        <v>Western US</v>
      </c>
      <c r="H40" t="str">
        <v>USCA</v>
      </c>
      <c r="I40" t="str">
        <v>Furniture</v>
      </c>
      <c r="J40" t="str">
        <v>Consumer</v>
      </c>
      <c r="K40" t="str">
        <v>Chairs</v>
      </c>
      <c r="L40">
        <v>48.712000000000003</v>
      </c>
      <c r="M40">
        <v>1</v>
      </c>
      <c r="N40">
        <v>0.2</v>
      </c>
      <c r="O40">
        <v>5.4800999999999966</v>
      </c>
    </row>
    <row r="44" spans="1:15" x14ac:dyDescent="0.3">
      <c r="A44" s="19" t="s">
        <v>59</v>
      </c>
    </row>
    <row r="45" spans="1:15" x14ac:dyDescent="0.3">
      <c r="A45" s="16" cm="1">
        <f t="array" ref="A45:O52">Remove_Rows_All_Null(A1:O11)</f>
        <v>41954</v>
      </c>
      <c r="B45" s="16">
        <v>41956</v>
      </c>
      <c r="C45" t="str">
        <v>Aaron Bergman</v>
      </c>
      <c r="D45" t="str">
        <v>Oklahoma City</v>
      </c>
      <c r="E45" t="str">
        <v>Oklahoma</v>
      </c>
      <c r="F45" t="str">
        <v>United States</v>
      </c>
      <c r="G45" t="str">
        <v>Central US</v>
      </c>
      <c r="H45" t="str">
        <v>USCA</v>
      </c>
      <c r="I45" t="str">
        <v>Technology</v>
      </c>
      <c r="J45" t="str">
        <v>Consumer</v>
      </c>
      <c r="K45" t="str">
        <v>Phones</v>
      </c>
      <c r="L45">
        <v>221.98</v>
      </c>
      <c r="M45">
        <v>2</v>
      </c>
      <c r="N45">
        <v>0</v>
      </c>
      <c r="O45">
        <v>62.15440000000001</v>
      </c>
    </row>
    <row r="46" spans="1:15" x14ac:dyDescent="0.3">
      <c r="A46" s="16">
        <v>41929</v>
      </c>
      <c r="B46" s="16">
        <v>41930</v>
      </c>
      <c r="C46" t="str">
        <v>Craig Reiter</v>
      </c>
      <c r="D46" t="str">
        <v>Brisbane</v>
      </c>
      <c r="E46" t="str">
        <v>Queensland</v>
      </c>
      <c r="F46" t="str">
        <v>Australia</v>
      </c>
      <c r="G46" t="str">
        <v>Oceania</v>
      </c>
      <c r="H46" t="str">
        <v/>
      </c>
      <c r="I46" t="str">
        <v/>
      </c>
      <c r="J46" t="str">
        <v/>
      </c>
      <c r="K46" t="str">
        <v/>
      </c>
      <c r="L46" t="str">
        <v/>
      </c>
      <c r="M46" t="str">
        <v/>
      </c>
      <c r="N46" t="str">
        <v/>
      </c>
      <c r="O46" t="str">
        <v/>
      </c>
    </row>
    <row r="47" spans="1:15" x14ac:dyDescent="0.3">
      <c r="A47" s="16">
        <v>41667</v>
      </c>
      <c r="B47" s="16">
        <v>41669</v>
      </c>
      <c r="C47" t="str">
        <v>Katherine Murray</v>
      </c>
      <c r="D47" t="str">
        <v>Berlin</v>
      </c>
      <c r="E47" t="str">
        <v>Berlin</v>
      </c>
      <c r="F47" t="str">
        <v>Germany</v>
      </c>
      <c r="G47" t="str">
        <v>Western Europe</v>
      </c>
      <c r="H47" t="str">
        <v>Europe</v>
      </c>
      <c r="I47" t="str">
        <v>Technology</v>
      </c>
      <c r="J47" t="str">
        <v>Home Office</v>
      </c>
      <c r="K47" t="str">
        <v>Phones</v>
      </c>
      <c r="L47">
        <v>2892.5099999999998</v>
      </c>
      <c r="M47">
        <v>5</v>
      </c>
      <c r="N47">
        <v>0.1</v>
      </c>
      <c r="O47">
        <v>-96.540000000000049</v>
      </c>
    </row>
    <row r="48" spans="1:15" x14ac:dyDescent="0.3">
      <c r="A48" s="16">
        <v>41818</v>
      </c>
      <c r="B48" s="16">
        <v>41821</v>
      </c>
      <c r="C48" t="str">
        <v>Jim Mitchum</v>
      </c>
      <c r="D48" t="str">
        <v>Sydney</v>
      </c>
      <c r="E48" t="str">
        <v>New South Wales</v>
      </c>
      <c r="F48" t="str">
        <v>Australia</v>
      </c>
      <c r="G48" t="str">
        <v>Oceania</v>
      </c>
      <c r="H48" t="str">
        <v>Asia Pacific</v>
      </c>
      <c r="I48" t="str">
        <v>Technology</v>
      </c>
      <c r="J48" t="str">
        <v>Corporate</v>
      </c>
      <c r="K48" t="str">
        <v>Phones</v>
      </c>
      <c r="L48">
        <v>2862.6750000000002</v>
      </c>
      <c r="M48">
        <v>5</v>
      </c>
      <c r="N48">
        <v>0.1</v>
      </c>
      <c r="O48">
        <v>763.27500000000009</v>
      </c>
    </row>
    <row r="49" spans="1:15" x14ac:dyDescent="0.3">
      <c r="A49" s="16">
        <v>41219</v>
      </c>
      <c r="B49" s="16">
        <v>41221</v>
      </c>
      <c r="C49" t="str">
        <v>Toby Swindell</v>
      </c>
      <c r="D49" t="str">
        <v>Porirua</v>
      </c>
      <c r="E49" t="str">
        <v>Wellington</v>
      </c>
      <c r="F49" t="str">
        <v>New Zealand</v>
      </c>
      <c r="G49" t="str">
        <v>Oceania</v>
      </c>
      <c r="H49" t="str">
        <v>Asia Pacific</v>
      </c>
      <c r="I49" t="str">
        <v>Furniture</v>
      </c>
      <c r="J49" t="str">
        <v>Consumer</v>
      </c>
      <c r="K49" t="str">
        <v>Chairs</v>
      </c>
      <c r="L49">
        <v>1822.0799999999997</v>
      </c>
      <c r="M49">
        <v>4</v>
      </c>
      <c r="N49">
        <v>0</v>
      </c>
      <c r="O49">
        <v>564.84</v>
      </c>
    </row>
    <row r="50" spans="1:15" x14ac:dyDescent="0.3">
      <c r="A50" s="16" t="str">
        <v/>
      </c>
      <c r="B50" s="16">
        <v>41382</v>
      </c>
      <c r="C50" t="str">
        <v>Mick Brown</v>
      </c>
      <c r="D50" t="str">
        <v>Hamilton</v>
      </c>
      <c r="E50" t="str">
        <v>Waikato</v>
      </c>
      <c r="F50" t="str">
        <v>New Zealand</v>
      </c>
      <c r="G50" t="str">
        <v>Oceania</v>
      </c>
      <c r="H50" t="str">
        <v>Asia Pacific</v>
      </c>
      <c r="I50" t="str">
        <v>Furniture</v>
      </c>
      <c r="J50" t="str">
        <v>Consumer</v>
      </c>
      <c r="K50" t="str">
        <v>Tables</v>
      </c>
      <c r="L50">
        <v>5244.84</v>
      </c>
      <c r="M50">
        <v>6</v>
      </c>
      <c r="N50">
        <v>0</v>
      </c>
      <c r="O50">
        <v>996.4799999999999</v>
      </c>
    </row>
    <row r="51" spans="1:15" x14ac:dyDescent="0.3">
      <c r="A51" s="16" t="str">
        <v/>
      </c>
      <c r="B51" s="16">
        <v>41956</v>
      </c>
      <c r="C51" t="str">
        <v>Aaron Bergman</v>
      </c>
      <c r="D51" t="str">
        <v>Oklahoma City</v>
      </c>
      <c r="E51" t="str">
        <v>Oklahoma</v>
      </c>
      <c r="F51" t="str">
        <v>United States</v>
      </c>
      <c r="G51" t="str">
        <v>Central US</v>
      </c>
      <c r="H51" t="str">
        <v>USCA</v>
      </c>
      <c r="I51" t="str">
        <v>Furniture</v>
      </c>
      <c r="J51" t="str">
        <v>Consumer</v>
      </c>
      <c r="K51" t="str">
        <v>Bookcases</v>
      </c>
      <c r="L51">
        <v>341.96</v>
      </c>
      <c r="M51">
        <v>2</v>
      </c>
      <c r="N51">
        <v>0</v>
      </c>
      <c r="O51">
        <v>54.713599999999985</v>
      </c>
    </row>
    <row r="52" spans="1:15" x14ac:dyDescent="0.3">
      <c r="A52" s="16">
        <v>40974</v>
      </c>
      <c r="B52" s="16">
        <v>40975</v>
      </c>
      <c r="C52" t="str">
        <v>Aaron Bergman</v>
      </c>
      <c r="D52" t="str">
        <v>Seattle</v>
      </c>
      <c r="E52" t="str">
        <v>Washington</v>
      </c>
      <c r="F52" t="str">
        <v>United States</v>
      </c>
      <c r="G52" t="str">
        <v>Western US</v>
      </c>
      <c r="H52" t="str">
        <v>USCA</v>
      </c>
      <c r="I52" t="str">
        <v>Furniture</v>
      </c>
      <c r="J52" t="str">
        <v>Consumer</v>
      </c>
      <c r="K52" t="str">
        <v>Chairs</v>
      </c>
      <c r="L52">
        <v>48.712000000000003</v>
      </c>
      <c r="M52">
        <v>1</v>
      </c>
      <c r="N52">
        <v>0.2</v>
      </c>
      <c r="O52">
        <v>5.4800999999999966</v>
      </c>
    </row>
    <row r="56" spans="1:15" x14ac:dyDescent="0.3">
      <c r="A56" s="18" t="s">
        <v>62</v>
      </c>
    </row>
    <row r="57" spans="1:15" x14ac:dyDescent="0.3">
      <c r="A57" t="str" cm="1">
        <f t="array" ref="A57:O62">_xlfn.LET(_xlpm.completerange,
A1:O11,
_xlpm.headers,
_xlfn.TAKE(_xlpm.completerange,1),
_xlpm.data,
_xlfn.DROP(_xlpm.completerange,1),
_xlpm.filtered_data,
_xlfn._xlws.FILTER(_xlpm.data,_xlfn.BYROW(_xlpm.data,_xlfn.LAMBDA(_xlpm.array,COUNTA(_xlpm.array)))=COUNTA(_xlpm.headers)),
_xlfn.VSTACK(_xlpm.headers, IF(ISBLANK(_xlpm.filtered_data),"",_xlpm.filtered_data)))</f>
        <v>Order Date</v>
      </c>
      <c r="B57" t="str">
        <v>Ship Date</v>
      </c>
      <c r="C57" t="str">
        <v>Customer Name</v>
      </c>
      <c r="D57" t="str">
        <v>City</v>
      </c>
      <c r="E57" t="str">
        <v>State</v>
      </c>
      <c r="F57" t="str">
        <v>Country</v>
      </c>
      <c r="G57" t="str">
        <v>Region</v>
      </c>
      <c r="H57" t="str">
        <v>Market</v>
      </c>
      <c r="I57" t="str">
        <v>Category</v>
      </c>
      <c r="J57" t="str">
        <v>Segment</v>
      </c>
      <c r="K57" t="str">
        <v>Sub-Category</v>
      </c>
      <c r="L57" t="str">
        <v>Sales</v>
      </c>
      <c r="M57" t="str">
        <v>Quantity</v>
      </c>
      <c r="N57" t="str">
        <v>Discount</v>
      </c>
      <c r="O57" t="str">
        <v>Profit</v>
      </c>
    </row>
    <row r="58" spans="1:15" x14ac:dyDescent="0.3">
      <c r="A58" s="16">
        <v>41954</v>
      </c>
      <c r="B58" s="16">
        <v>41956</v>
      </c>
      <c r="C58" t="str">
        <v>Aaron Bergman</v>
      </c>
      <c r="D58" t="str">
        <v>Oklahoma City</v>
      </c>
      <c r="E58" t="str">
        <v>Oklahoma</v>
      </c>
      <c r="F58" t="str">
        <v>United States</v>
      </c>
      <c r="G58" t="str">
        <v>Central US</v>
      </c>
      <c r="H58" t="str">
        <v>USCA</v>
      </c>
      <c r="I58" t="str">
        <v>Technology</v>
      </c>
      <c r="J58" t="str">
        <v>Consumer</v>
      </c>
      <c r="K58" t="str">
        <v>Phones</v>
      </c>
      <c r="L58">
        <v>221.98</v>
      </c>
      <c r="M58">
        <v>2</v>
      </c>
      <c r="N58">
        <v>0</v>
      </c>
      <c r="O58">
        <v>62.15440000000001</v>
      </c>
    </row>
    <row r="59" spans="1:15" x14ac:dyDescent="0.3">
      <c r="A59" s="16">
        <v>41667</v>
      </c>
      <c r="B59" s="16">
        <v>41669</v>
      </c>
      <c r="C59" t="str">
        <v>Katherine Murray</v>
      </c>
      <c r="D59" t="str">
        <v>Berlin</v>
      </c>
      <c r="E59" t="str">
        <v>Berlin</v>
      </c>
      <c r="F59" t="str">
        <v>Germany</v>
      </c>
      <c r="G59" t="str">
        <v>Western Europe</v>
      </c>
      <c r="H59" t="str">
        <v>Europe</v>
      </c>
      <c r="I59" t="str">
        <v>Technology</v>
      </c>
      <c r="J59" t="str">
        <v>Home Office</v>
      </c>
      <c r="K59" t="str">
        <v>Phones</v>
      </c>
      <c r="L59">
        <v>2892.5099999999998</v>
      </c>
      <c r="M59">
        <v>5</v>
      </c>
      <c r="N59">
        <v>0.1</v>
      </c>
      <c r="O59">
        <v>-96.540000000000049</v>
      </c>
    </row>
    <row r="60" spans="1:15" x14ac:dyDescent="0.3">
      <c r="A60" s="16">
        <v>41818</v>
      </c>
      <c r="B60" s="16">
        <v>41821</v>
      </c>
      <c r="C60" t="str">
        <v>Jim Mitchum</v>
      </c>
      <c r="D60" t="str">
        <v>Sydney</v>
      </c>
      <c r="E60" t="str">
        <v>New South Wales</v>
      </c>
      <c r="F60" t="str">
        <v>Australia</v>
      </c>
      <c r="G60" t="str">
        <v>Oceania</v>
      </c>
      <c r="H60" t="str">
        <v>Asia Pacific</v>
      </c>
      <c r="I60" t="str">
        <v>Technology</v>
      </c>
      <c r="J60" t="str">
        <v>Corporate</v>
      </c>
      <c r="K60" t="str">
        <v>Phones</v>
      </c>
      <c r="L60">
        <v>2862.6750000000002</v>
      </c>
      <c r="M60">
        <v>5</v>
      </c>
      <c r="N60">
        <v>0.1</v>
      </c>
      <c r="O60">
        <v>763.27500000000009</v>
      </c>
    </row>
    <row r="61" spans="1:15" x14ac:dyDescent="0.3">
      <c r="A61" s="16">
        <v>41219</v>
      </c>
      <c r="B61" s="16">
        <v>41221</v>
      </c>
      <c r="C61" t="str">
        <v>Toby Swindell</v>
      </c>
      <c r="D61" t="str">
        <v>Porirua</v>
      </c>
      <c r="E61" t="str">
        <v>Wellington</v>
      </c>
      <c r="F61" t="str">
        <v>New Zealand</v>
      </c>
      <c r="G61" t="str">
        <v>Oceania</v>
      </c>
      <c r="H61" t="str">
        <v>Asia Pacific</v>
      </c>
      <c r="I61" t="str">
        <v>Furniture</v>
      </c>
      <c r="J61" t="str">
        <v>Consumer</v>
      </c>
      <c r="K61" t="str">
        <v>Chairs</v>
      </c>
      <c r="L61">
        <v>1822.0799999999997</v>
      </c>
      <c r="M61">
        <v>4</v>
      </c>
      <c r="N61">
        <v>0</v>
      </c>
      <c r="O61">
        <v>564.84</v>
      </c>
    </row>
    <row r="62" spans="1:15" x14ac:dyDescent="0.3">
      <c r="A62" s="16">
        <v>40974</v>
      </c>
      <c r="B62" s="16">
        <v>40975</v>
      </c>
      <c r="C62" t="str">
        <v>Aaron Bergman</v>
      </c>
      <c r="D62" t="str">
        <v>Seattle</v>
      </c>
      <c r="E62" t="str">
        <v>Washington</v>
      </c>
      <c r="F62" t="str">
        <v>United States</v>
      </c>
      <c r="G62" t="str">
        <v>Western US</v>
      </c>
      <c r="H62" t="str">
        <v>USCA</v>
      </c>
      <c r="I62" t="str">
        <v>Furniture</v>
      </c>
      <c r="J62" t="str">
        <v>Consumer</v>
      </c>
      <c r="K62" t="str">
        <v>Chairs</v>
      </c>
      <c r="L62">
        <v>48.712000000000003</v>
      </c>
      <c r="M62">
        <v>1</v>
      </c>
      <c r="N62">
        <v>0.2</v>
      </c>
      <c r="O62">
        <v>5.4800999999999966</v>
      </c>
    </row>
    <row r="66" spans="1:15" x14ac:dyDescent="0.3">
      <c r="A66" s="19" t="s">
        <v>63</v>
      </c>
    </row>
    <row r="67" spans="1:15" x14ac:dyDescent="0.3">
      <c r="A67" t="str" cm="1">
        <f t="array" ref="A67:O75">_xlfn.LET(_xlpm.completerange,
A1:O11,
_xlpm.headers,
_xlfn.TAKE(_xlpm.completerange,1),
_xlpm.data,
_xlfn.DROP(_xlpm.completerange,1),
_xlpm.filtered_data,
_xlfn._xlws.FILTER(_xlpm.data,_xlfn.BYROW(_xlpm.data,_xlfn.LAMBDA(_xlpm.array,COUNTA(_xlpm.array)))&lt;&gt;0),
_xlfn.VSTACK(_xlpm.headers, IF(ISBLANK(_xlpm.filtered_data),"",_xlpm.filtered_data)))</f>
        <v>Order Date</v>
      </c>
      <c r="B67" t="str">
        <v>Ship Date</v>
      </c>
      <c r="C67" t="str">
        <v>Customer Name</v>
      </c>
      <c r="D67" t="str">
        <v>City</v>
      </c>
      <c r="E67" t="str">
        <v>State</v>
      </c>
      <c r="F67" t="str">
        <v>Country</v>
      </c>
      <c r="G67" t="str">
        <v>Region</v>
      </c>
      <c r="H67" t="str">
        <v>Market</v>
      </c>
      <c r="I67" t="str">
        <v>Category</v>
      </c>
      <c r="J67" t="str">
        <v>Segment</v>
      </c>
      <c r="K67" t="str">
        <v>Sub-Category</v>
      </c>
      <c r="L67" t="str">
        <v>Sales</v>
      </c>
      <c r="M67" t="str">
        <v>Quantity</v>
      </c>
      <c r="N67" t="str">
        <v>Discount</v>
      </c>
      <c r="O67" t="str">
        <v>Profit</v>
      </c>
    </row>
    <row r="68" spans="1:15" x14ac:dyDescent="0.3">
      <c r="A68" s="16">
        <v>41954</v>
      </c>
      <c r="B68" s="16">
        <v>41956</v>
      </c>
      <c r="C68" t="str">
        <v>Aaron Bergman</v>
      </c>
      <c r="D68" t="str">
        <v>Oklahoma City</v>
      </c>
      <c r="E68" t="str">
        <v>Oklahoma</v>
      </c>
      <c r="F68" t="str">
        <v>United States</v>
      </c>
      <c r="G68" t="str">
        <v>Central US</v>
      </c>
      <c r="H68" t="str">
        <v>USCA</v>
      </c>
      <c r="I68" t="str">
        <v>Technology</v>
      </c>
      <c r="J68" t="str">
        <v>Consumer</v>
      </c>
      <c r="K68" t="str">
        <v>Phones</v>
      </c>
      <c r="L68">
        <v>221.98</v>
      </c>
      <c r="M68">
        <v>2</v>
      </c>
      <c r="N68">
        <v>0</v>
      </c>
      <c r="O68">
        <v>62.15440000000001</v>
      </c>
    </row>
    <row r="69" spans="1:15" x14ac:dyDescent="0.3">
      <c r="A69" s="16">
        <v>41929</v>
      </c>
      <c r="B69" s="16">
        <v>41930</v>
      </c>
      <c r="C69" t="str">
        <v>Craig Reiter</v>
      </c>
      <c r="D69" t="str">
        <v>Brisbane</v>
      </c>
      <c r="E69" t="str">
        <v>Queensland</v>
      </c>
      <c r="F69" t="str">
        <v>Australia</v>
      </c>
      <c r="G69" t="str">
        <v>Oceania</v>
      </c>
      <c r="H69" t="str">
        <v/>
      </c>
      <c r="I69" t="str">
        <v/>
      </c>
      <c r="J69" t="str">
        <v/>
      </c>
      <c r="K69" t="str">
        <v/>
      </c>
      <c r="L69" t="str">
        <v/>
      </c>
      <c r="M69" t="str">
        <v/>
      </c>
      <c r="N69" t="str">
        <v/>
      </c>
      <c r="O69" t="str">
        <v/>
      </c>
    </row>
    <row r="70" spans="1:15" x14ac:dyDescent="0.3">
      <c r="A70" s="16">
        <v>41667</v>
      </c>
      <c r="B70" s="16">
        <v>41669</v>
      </c>
      <c r="C70" t="str">
        <v>Katherine Murray</v>
      </c>
      <c r="D70" t="str">
        <v>Berlin</v>
      </c>
      <c r="E70" t="str">
        <v>Berlin</v>
      </c>
      <c r="F70" t="str">
        <v>Germany</v>
      </c>
      <c r="G70" t="str">
        <v>Western Europe</v>
      </c>
      <c r="H70" t="str">
        <v>Europe</v>
      </c>
      <c r="I70" t="str">
        <v>Technology</v>
      </c>
      <c r="J70" t="str">
        <v>Home Office</v>
      </c>
      <c r="K70" t="str">
        <v>Phones</v>
      </c>
      <c r="L70">
        <v>2892.5099999999998</v>
      </c>
      <c r="M70">
        <v>5</v>
      </c>
      <c r="N70">
        <v>0.1</v>
      </c>
      <c r="O70">
        <v>-96.540000000000049</v>
      </c>
    </row>
    <row r="71" spans="1:15" x14ac:dyDescent="0.3">
      <c r="A71" s="16">
        <v>41818</v>
      </c>
      <c r="B71" s="16">
        <v>41821</v>
      </c>
      <c r="C71" t="str">
        <v>Jim Mitchum</v>
      </c>
      <c r="D71" t="str">
        <v>Sydney</v>
      </c>
      <c r="E71" t="str">
        <v>New South Wales</v>
      </c>
      <c r="F71" t="str">
        <v>Australia</v>
      </c>
      <c r="G71" t="str">
        <v>Oceania</v>
      </c>
      <c r="H71" t="str">
        <v>Asia Pacific</v>
      </c>
      <c r="I71" t="str">
        <v>Technology</v>
      </c>
      <c r="J71" t="str">
        <v>Corporate</v>
      </c>
      <c r="K71" t="str">
        <v>Phones</v>
      </c>
      <c r="L71">
        <v>2862.6750000000002</v>
      </c>
      <c r="M71">
        <v>5</v>
      </c>
      <c r="N71">
        <v>0.1</v>
      </c>
      <c r="O71">
        <v>763.27500000000009</v>
      </c>
    </row>
    <row r="72" spans="1:15" x14ac:dyDescent="0.3">
      <c r="A72" s="16">
        <v>41219</v>
      </c>
      <c r="B72" s="16">
        <v>41221</v>
      </c>
      <c r="C72" t="str">
        <v>Toby Swindell</v>
      </c>
      <c r="D72" t="str">
        <v>Porirua</v>
      </c>
      <c r="E72" t="str">
        <v>Wellington</v>
      </c>
      <c r="F72" t="str">
        <v>New Zealand</v>
      </c>
      <c r="G72" t="str">
        <v>Oceania</v>
      </c>
      <c r="H72" t="str">
        <v>Asia Pacific</v>
      </c>
      <c r="I72" t="str">
        <v>Furniture</v>
      </c>
      <c r="J72" t="str">
        <v>Consumer</v>
      </c>
      <c r="K72" t="str">
        <v>Chairs</v>
      </c>
      <c r="L72">
        <v>1822.0799999999997</v>
      </c>
      <c r="M72">
        <v>4</v>
      </c>
      <c r="N72">
        <v>0</v>
      </c>
      <c r="O72">
        <v>564.84</v>
      </c>
    </row>
    <row r="73" spans="1:15" x14ac:dyDescent="0.3">
      <c r="A73" s="16" t="str">
        <v/>
      </c>
      <c r="B73" s="16">
        <v>41382</v>
      </c>
      <c r="C73" t="str">
        <v>Mick Brown</v>
      </c>
      <c r="D73" t="str">
        <v>Hamilton</v>
      </c>
      <c r="E73" t="str">
        <v>Waikato</v>
      </c>
      <c r="F73" t="str">
        <v>New Zealand</v>
      </c>
      <c r="G73" t="str">
        <v>Oceania</v>
      </c>
      <c r="H73" t="str">
        <v>Asia Pacific</v>
      </c>
      <c r="I73" t="str">
        <v>Furniture</v>
      </c>
      <c r="J73" t="str">
        <v>Consumer</v>
      </c>
      <c r="K73" t="str">
        <v>Tables</v>
      </c>
      <c r="L73">
        <v>5244.84</v>
      </c>
      <c r="M73">
        <v>6</v>
      </c>
      <c r="N73">
        <v>0</v>
      </c>
      <c r="O73">
        <v>996.4799999999999</v>
      </c>
    </row>
    <row r="74" spans="1:15" x14ac:dyDescent="0.3">
      <c r="A74" s="16" t="str">
        <v/>
      </c>
      <c r="B74" s="16">
        <v>41956</v>
      </c>
      <c r="C74" t="str">
        <v>Aaron Bergman</v>
      </c>
      <c r="D74" t="str">
        <v>Oklahoma City</v>
      </c>
      <c r="E74" t="str">
        <v>Oklahoma</v>
      </c>
      <c r="F74" t="str">
        <v>United States</v>
      </c>
      <c r="G74" t="str">
        <v>Central US</v>
      </c>
      <c r="H74" t="str">
        <v>USCA</v>
      </c>
      <c r="I74" t="str">
        <v>Furniture</v>
      </c>
      <c r="J74" t="str">
        <v>Consumer</v>
      </c>
      <c r="K74" t="str">
        <v>Bookcases</v>
      </c>
      <c r="L74">
        <v>341.96</v>
      </c>
      <c r="M74">
        <v>2</v>
      </c>
      <c r="N74">
        <v>0</v>
      </c>
      <c r="O74">
        <v>54.713599999999985</v>
      </c>
    </row>
    <row r="75" spans="1:15" x14ac:dyDescent="0.3">
      <c r="A75" s="16">
        <v>40974</v>
      </c>
      <c r="B75" s="16">
        <v>40975</v>
      </c>
      <c r="C75" t="str">
        <v>Aaron Bergman</v>
      </c>
      <c r="D75" t="str">
        <v>Seattle</v>
      </c>
      <c r="E75" t="str">
        <v>Washington</v>
      </c>
      <c r="F75" t="str">
        <v>United States</v>
      </c>
      <c r="G75" t="str">
        <v>Western US</v>
      </c>
      <c r="H75" t="str">
        <v>USCA</v>
      </c>
      <c r="I75" t="str">
        <v>Furniture</v>
      </c>
      <c r="J75" t="str">
        <v>Consumer</v>
      </c>
      <c r="K75" t="str">
        <v>Chairs</v>
      </c>
      <c r="L75">
        <v>48.712000000000003</v>
      </c>
      <c r="M75">
        <v>1</v>
      </c>
      <c r="N75">
        <v>0.2</v>
      </c>
      <c r="O75">
        <v>5.4800999999999966</v>
      </c>
    </row>
    <row r="79" spans="1:15" x14ac:dyDescent="0.3">
      <c r="A79" s="18" t="s">
        <v>60</v>
      </c>
    </row>
    <row r="80" spans="1:15" x14ac:dyDescent="0.3">
      <c r="A80" t="str" cm="1">
        <f t="array" ref="A80:O85">Remove_Rows_Single_Null_With_Heading(A1:O11)</f>
        <v>Order Date</v>
      </c>
      <c r="B80" t="str">
        <v>Ship Date</v>
      </c>
      <c r="C80" t="str">
        <v>Customer Name</v>
      </c>
      <c r="D80" t="str">
        <v>City</v>
      </c>
      <c r="E80" t="str">
        <v>State</v>
      </c>
      <c r="F80" t="str">
        <v>Country</v>
      </c>
      <c r="G80" t="str">
        <v>Region</v>
      </c>
      <c r="H80" t="str">
        <v>Market</v>
      </c>
      <c r="I80" t="str">
        <v>Category</v>
      </c>
      <c r="J80" t="str">
        <v>Segment</v>
      </c>
      <c r="K80" t="str">
        <v>Sub-Category</v>
      </c>
      <c r="L80" t="str">
        <v>Sales</v>
      </c>
      <c r="M80" t="str">
        <v>Quantity</v>
      </c>
      <c r="N80" t="str">
        <v>Discount</v>
      </c>
      <c r="O80" t="str">
        <v>Profit</v>
      </c>
    </row>
    <row r="81" spans="1:15" x14ac:dyDescent="0.3">
      <c r="A81" s="16">
        <v>41954</v>
      </c>
      <c r="B81" s="16">
        <v>41956</v>
      </c>
      <c r="C81" t="str">
        <v>Aaron Bergman</v>
      </c>
      <c r="D81" t="str">
        <v>Oklahoma City</v>
      </c>
      <c r="E81" t="str">
        <v>Oklahoma</v>
      </c>
      <c r="F81" t="str">
        <v>United States</v>
      </c>
      <c r="G81" t="str">
        <v>Central US</v>
      </c>
      <c r="H81" t="str">
        <v>USCA</v>
      </c>
      <c r="I81" t="str">
        <v>Technology</v>
      </c>
      <c r="J81" t="str">
        <v>Consumer</v>
      </c>
      <c r="K81" t="str">
        <v>Phones</v>
      </c>
      <c r="L81">
        <v>221.98</v>
      </c>
      <c r="M81">
        <v>2</v>
      </c>
      <c r="N81">
        <v>0</v>
      </c>
      <c r="O81">
        <v>62.15440000000001</v>
      </c>
    </row>
    <row r="82" spans="1:15" x14ac:dyDescent="0.3">
      <c r="A82" s="16">
        <v>41667</v>
      </c>
      <c r="B82" s="16">
        <v>41669</v>
      </c>
      <c r="C82" t="str">
        <v>Katherine Murray</v>
      </c>
      <c r="D82" t="str">
        <v>Berlin</v>
      </c>
      <c r="E82" t="str">
        <v>Berlin</v>
      </c>
      <c r="F82" t="str">
        <v>Germany</v>
      </c>
      <c r="G82" t="str">
        <v>Western Europe</v>
      </c>
      <c r="H82" t="str">
        <v>Europe</v>
      </c>
      <c r="I82" t="str">
        <v>Technology</v>
      </c>
      <c r="J82" t="str">
        <v>Home Office</v>
      </c>
      <c r="K82" t="str">
        <v>Phones</v>
      </c>
      <c r="L82">
        <v>2892.5099999999998</v>
      </c>
      <c r="M82">
        <v>5</v>
      </c>
      <c r="N82">
        <v>0.1</v>
      </c>
      <c r="O82">
        <v>-96.540000000000049</v>
      </c>
    </row>
    <row r="83" spans="1:15" x14ac:dyDescent="0.3">
      <c r="A83" s="16">
        <v>41818</v>
      </c>
      <c r="B83" s="16">
        <v>41821</v>
      </c>
      <c r="C83" t="str">
        <v>Jim Mitchum</v>
      </c>
      <c r="D83" t="str">
        <v>Sydney</v>
      </c>
      <c r="E83" t="str">
        <v>New South Wales</v>
      </c>
      <c r="F83" t="str">
        <v>Australia</v>
      </c>
      <c r="G83" t="str">
        <v>Oceania</v>
      </c>
      <c r="H83" t="str">
        <v>Asia Pacific</v>
      </c>
      <c r="I83" t="str">
        <v>Technology</v>
      </c>
      <c r="J83" t="str">
        <v>Corporate</v>
      </c>
      <c r="K83" t="str">
        <v>Phones</v>
      </c>
      <c r="L83">
        <v>2862.6750000000002</v>
      </c>
      <c r="M83">
        <v>5</v>
      </c>
      <c r="N83">
        <v>0.1</v>
      </c>
      <c r="O83">
        <v>763.27500000000009</v>
      </c>
    </row>
    <row r="84" spans="1:15" x14ac:dyDescent="0.3">
      <c r="A84" s="16">
        <v>41219</v>
      </c>
      <c r="B84" s="16">
        <v>41221</v>
      </c>
      <c r="C84" t="str">
        <v>Toby Swindell</v>
      </c>
      <c r="D84" t="str">
        <v>Porirua</v>
      </c>
      <c r="E84" t="str">
        <v>Wellington</v>
      </c>
      <c r="F84" t="str">
        <v>New Zealand</v>
      </c>
      <c r="G84" t="str">
        <v>Oceania</v>
      </c>
      <c r="H84" t="str">
        <v>Asia Pacific</v>
      </c>
      <c r="I84" t="str">
        <v>Furniture</v>
      </c>
      <c r="J84" t="str">
        <v>Consumer</v>
      </c>
      <c r="K84" t="str">
        <v>Chairs</v>
      </c>
      <c r="L84">
        <v>1822.0799999999997</v>
      </c>
      <c r="M84">
        <v>4</v>
      </c>
      <c r="N84">
        <v>0</v>
      </c>
      <c r="O84">
        <v>564.84</v>
      </c>
    </row>
    <row r="85" spans="1:15" x14ac:dyDescent="0.3">
      <c r="A85" s="16">
        <v>40974</v>
      </c>
      <c r="B85" s="16">
        <v>40975</v>
      </c>
      <c r="C85" t="str">
        <v>Aaron Bergman</v>
      </c>
      <c r="D85" t="str">
        <v>Seattle</v>
      </c>
      <c r="E85" t="str">
        <v>Washington</v>
      </c>
      <c r="F85" t="str">
        <v>United States</v>
      </c>
      <c r="G85" t="str">
        <v>Western US</v>
      </c>
      <c r="H85" t="str">
        <v>USCA</v>
      </c>
      <c r="I85" t="str">
        <v>Furniture</v>
      </c>
      <c r="J85" t="str">
        <v>Consumer</v>
      </c>
      <c r="K85" t="str">
        <v>Chairs</v>
      </c>
      <c r="L85">
        <v>48.712000000000003</v>
      </c>
      <c r="M85">
        <v>1</v>
      </c>
      <c r="N85">
        <v>0.2</v>
      </c>
      <c r="O85">
        <v>5.4800999999999966</v>
      </c>
    </row>
    <row r="89" spans="1:15" x14ac:dyDescent="0.3">
      <c r="A89" s="19" t="s">
        <v>61</v>
      </c>
    </row>
    <row r="90" spans="1:15" x14ac:dyDescent="0.3">
      <c r="A90" t="str" cm="1">
        <f t="array" ref="A90:O98">Remove_Rows_All_Null_With_Heading(A1:O11)</f>
        <v>Order Date</v>
      </c>
      <c r="B90" t="str">
        <v>Ship Date</v>
      </c>
      <c r="C90" t="str">
        <v>Customer Name</v>
      </c>
      <c r="D90" t="str">
        <v>City</v>
      </c>
      <c r="E90" t="str">
        <v>State</v>
      </c>
      <c r="F90" t="str">
        <v>Country</v>
      </c>
      <c r="G90" t="str">
        <v>Region</v>
      </c>
      <c r="H90" t="str">
        <v>Market</v>
      </c>
      <c r="I90" t="str">
        <v>Category</v>
      </c>
      <c r="J90" t="str">
        <v>Segment</v>
      </c>
      <c r="K90" t="str">
        <v>Sub-Category</v>
      </c>
      <c r="L90" t="str">
        <v>Sales</v>
      </c>
      <c r="M90" t="str">
        <v>Quantity</v>
      </c>
      <c r="N90" t="str">
        <v>Discount</v>
      </c>
      <c r="O90" t="str">
        <v>Profit</v>
      </c>
    </row>
    <row r="91" spans="1:15" x14ac:dyDescent="0.3">
      <c r="A91" s="16">
        <v>41954</v>
      </c>
      <c r="B91" s="16">
        <v>41956</v>
      </c>
      <c r="C91" t="str">
        <v>Aaron Bergman</v>
      </c>
      <c r="D91" t="str">
        <v>Oklahoma City</v>
      </c>
      <c r="E91" t="str">
        <v>Oklahoma</v>
      </c>
      <c r="F91" t="str">
        <v>United States</v>
      </c>
      <c r="G91" t="str">
        <v>Central US</v>
      </c>
      <c r="H91" t="str">
        <v>USCA</v>
      </c>
      <c r="I91" t="str">
        <v>Technology</v>
      </c>
      <c r="J91" t="str">
        <v>Consumer</v>
      </c>
      <c r="K91" t="str">
        <v>Phones</v>
      </c>
      <c r="L91">
        <v>221.98</v>
      </c>
      <c r="M91">
        <v>2</v>
      </c>
      <c r="N91">
        <v>0</v>
      </c>
      <c r="O91">
        <v>62.15440000000001</v>
      </c>
    </row>
    <row r="92" spans="1:15" x14ac:dyDescent="0.3">
      <c r="A92" s="16">
        <v>41929</v>
      </c>
      <c r="B92" s="16">
        <v>41930</v>
      </c>
      <c r="C92" t="str">
        <v>Craig Reiter</v>
      </c>
      <c r="D92" t="str">
        <v>Brisbane</v>
      </c>
      <c r="E92" t="str">
        <v>Queensland</v>
      </c>
      <c r="F92" t="str">
        <v>Australia</v>
      </c>
      <c r="G92" t="str">
        <v>Oceania</v>
      </c>
      <c r="H92" t="str">
        <v/>
      </c>
      <c r="I92" t="str">
        <v/>
      </c>
      <c r="J92" t="str">
        <v/>
      </c>
      <c r="K92" t="str">
        <v/>
      </c>
      <c r="L92" t="str">
        <v/>
      </c>
      <c r="M92" t="str">
        <v/>
      </c>
      <c r="N92" t="str">
        <v/>
      </c>
      <c r="O92" t="str">
        <v/>
      </c>
    </row>
    <row r="93" spans="1:15" x14ac:dyDescent="0.3">
      <c r="A93" s="16">
        <v>41667</v>
      </c>
      <c r="B93" s="16">
        <v>41669</v>
      </c>
      <c r="C93" t="str">
        <v>Katherine Murray</v>
      </c>
      <c r="D93" t="str">
        <v>Berlin</v>
      </c>
      <c r="E93" t="str">
        <v>Berlin</v>
      </c>
      <c r="F93" t="str">
        <v>Germany</v>
      </c>
      <c r="G93" t="str">
        <v>Western Europe</v>
      </c>
      <c r="H93" t="str">
        <v>Europe</v>
      </c>
      <c r="I93" t="str">
        <v>Technology</v>
      </c>
      <c r="J93" t="str">
        <v>Home Office</v>
      </c>
      <c r="K93" t="str">
        <v>Phones</v>
      </c>
      <c r="L93">
        <v>2892.5099999999998</v>
      </c>
      <c r="M93">
        <v>5</v>
      </c>
      <c r="N93">
        <v>0.1</v>
      </c>
      <c r="O93">
        <v>-96.540000000000049</v>
      </c>
    </row>
    <row r="94" spans="1:15" x14ac:dyDescent="0.3">
      <c r="A94" s="16">
        <v>41818</v>
      </c>
      <c r="B94" s="16">
        <v>41821</v>
      </c>
      <c r="C94" t="str">
        <v>Jim Mitchum</v>
      </c>
      <c r="D94" t="str">
        <v>Sydney</v>
      </c>
      <c r="E94" t="str">
        <v>New South Wales</v>
      </c>
      <c r="F94" t="str">
        <v>Australia</v>
      </c>
      <c r="G94" t="str">
        <v>Oceania</v>
      </c>
      <c r="H94" t="str">
        <v>Asia Pacific</v>
      </c>
      <c r="I94" t="str">
        <v>Technology</v>
      </c>
      <c r="J94" t="str">
        <v>Corporate</v>
      </c>
      <c r="K94" t="str">
        <v>Phones</v>
      </c>
      <c r="L94">
        <v>2862.6750000000002</v>
      </c>
      <c r="M94">
        <v>5</v>
      </c>
      <c r="N94">
        <v>0.1</v>
      </c>
      <c r="O94">
        <v>763.27500000000009</v>
      </c>
    </row>
    <row r="95" spans="1:15" x14ac:dyDescent="0.3">
      <c r="A95" s="16">
        <v>41219</v>
      </c>
      <c r="B95" s="16">
        <v>41221</v>
      </c>
      <c r="C95" t="str">
        <v>Toby Swindell</v>
      </c>
      <c r="D95" t="str">
        <v>Porirua</v>
      </c>
      <c r="E95" t="str">
        <v>Wellington</v>
      </c>
      <c r="F95" t="str">
        <v>New Zealand</v>
      </c>
      <c r="G95" t="str">
        <v>Oceania</v>
      </c>
      <c r="H95" t="str">
        <v>Asia Pacific</v>
      </c>
      <c r="I95" t="str">
        <v>Furniture</v>
      </c>
      <c r="J95" t="str">
        <v>Consumer</v>
      </c>
      <c r="K95" t="str">
        <v>Chairs</v>
      </c>
      <c r="L95">
        <v>1822.0799999999997</v>
      </c>
      <c r="M95">
        <v>4</v>
      </c>
      <c r="N95">
        <v>0</v>
      </c>
      <c r="O95">
        <v>564.84</v>
      </c>
    </row>
    <row r="96" spans="1:15" x14ac:dyDescent="0.3">
      <c r="A96" s="16" t="str">
        <v/>
      </c>
      <c r="B96" s="16">
        <v>41382</v>
      </c>
      <c r="C96" t="str">
        <v>Mick Brown</v>
      </c>
      <c r="D96" t="str">
        <v>Hamilton</v>
      </c>
      <c r="E96" t="str">
        <v>Waikato</v>
      </c>
      <c r="F96" t="str">
        <v>New Zealand</v>
      </c>
      <c r="G96" t="str">
        <v>Oceania</v>
      </c>
      <c r="H96" t="str">
        <v>Asia Pacific</v>
      </c>
      <c r="I96" t="str">
        <v>Furniture</v>
      </c>
      <c r="J96" t="str">
        <v>Consumer</v>
      </c>
      <c r="K96" t="str">
        <v>Tables</v>
      </c>
      <c r="L96">
        <v>5244.84</v>
      </c>
      <c r="M96">
        <v>6</v>
      </c>
      <c r="N96">
        <v>0</v>
      </c>
      <c r="O96">
        <v>996.4799999999999</v>
      </c>
    </row>
    <row r="97" spans="1:15" x14ac:dyDescent="0.3">
      <c r="A97" s="16" t="str">
        <v/>
      </c>
      <c r="B97" s="16">
        <v>41956</v>
      </c>
      <c r="C97" t="str">
        <v>Aaron Bergman</v>
      </c>
      <c r="D97" t="str">
        <v>Oklahoma City</v>
      </c>
      <c r="E97" t="str">
        <v>Oklahoma</v>
      </c>
      <c r="F97" t="str">
        <v>United States</v>
      </c>
      <c r="G97" t="str">
        <v>Central US</v>
      </c>
      <c r="H97" t="str">
        <v>USCA</v>
      </c>
      <c r="I97" t="str">
        <v>Furniture</v>
      </c>
      <c r="J97" t="str">
        <v>Consumer</v>
      </c>
      <c r="K97" t="str">
        <v>Bookcases</v>
      </c>
      <c r="L97">
        <v>341.96</v>
      </c>
      <c r="M97">
        <v>2</v>
      </c>
      <c r="N97">
        <v>0</v>
      </c>
      <c r="O97">
        <v>54.713599999999985</v>
      </c>
    </row>
    <row r="98" spans="1:15" x14ac:dyDescent="0.3">
      <c r="A98" s="16">
        <v>40974</v>
      </c>
      <c r="B98" s="16">
        <v>40975</v>
      </c>
      <c r="C98" t="str">
        <v>Aaron Bergman</v>
      </c>
      <c r="D98" t="str">
        <v>Seattle</v>
      </c>
      <c r="E98" t="str">
        <v>Washington</v>
      </c>
      <c r="F98" t="str">
        <v>United States</v>
      </c>
      <c r="G98" t="str">
        <v>Western US</v>
      </c>
      <c r="H98" t="str">
        <v>USCA</v>
      </c>
      <c r="I98" t="str">
        <v>Furniture</v>
      </c>
      <c r="J98" t="str">
        <v>Consumer</v>
      </c>
      <c r="K98" t="str">
        <v>Chairs</v>
      </c>
      <c r="L98">
        <v>48.712000000000003</v>
      </c>
      <c r="M98">
        <v>1</v>
      </c>
      <c r="N98">
        <v>0.2</v>
      </c>
      <c r="O98">
        <v>5.4800999999999966</v>
      </c>
    </row>
    <row r="102" spans="1:15" x14ac:dyDescent="0.3">
      <c r="A102" s="19" t="s">
        <v>97</v>
      </c>
    </row>
    <row r="103" spans="1:15" x14ac:dyDescent="0.3">
      <c r="A103" s="16" t="str" cm="1">
        <f t="array" ref="A103:O111">Remove_Rows_All_Null_Heading_Choice(A1:O11,0)</f>
        <v>Order Date</v>
      </c>
      <c r="B103" s="16" t="str">
        <v>Ship Date</v>
      </c>
      <c r="C103" t="str">
        <v>Customer Name</v>
      </c>
      <c r="D103" t="str">
        <v>City</v>
      </c>
      <c r="E103" t="str">
        <v>State</v>
      </c>
      <c r="F103" t="str">
        <v>Country</v>
      </c>
      <c r="G103" t="str">
        <v>Region</v>
      </c>
      <c r="H103" t="str">
        <v>Market</v>
      </c>
      <c r="I103" t="str">
        <v>Category</v>
      </c>
      <c r="J103" t="str">
        <v>Segment</v>
      </c>
      <c r="K103" t="str">
        <v>Sub-Category</v>
      </c>
      <c r="L103" t="str">
        <v>Sales</v>
      </c>
      <c r="M103" t="str">
        <v>Quantity</v>
      </c>
      <c r="N103" t="str">
        <v>Discount</v>
      </c>
      <c r="O103" t="str">
        <v>Profit</v>
      </c>
    </row>
    <row r="104" spans="1:15" x14ac:dyDescent="0.3">
      <c r="A104" s="16">
        <v>41954</v>
      </c>
      <c r="B104" s="16">
        <v>41956</v>
      </c>
      <c r="C104" t="str">
        <v>Aaron Bergman</v>
      </c>
      <c r="D104" t="str">
        <v>Oklahoma City</v>
      </c>
      <c r="E104" t="str">
        <v>Oklahoma</v>
      </c>
      <c r="F104" t="str">
        <v>United States</v>
      </c>
      <c r="G104" t="str">
        <v>Central US</v>
      </c>
      <c r="H104" t="str">
        <v>USCA</v>
      </c>
      <c r="I104" t="str">
        <v>Technology</v>
      </c>
      <c r="J104" t="str">
        <v>Consumer</v>
      </c>
      <c r="K104" t="str">
        <v>Phones</v>
      </c>
      <c r="L104">
        <v>221.98</v>
      </c>
      <c r="M104">
        <v>2</v>
      </c>
      <c r="N104">
        <v>0</v>
      </c>
      <c r="O104">
        <v>62.15440000000001</v>
      </c>
    </row>
    <row r="105" spans="1:15" x14ac:dyDescent="0.3">
      <c r="A105" s="16">
        <v>41929</v>
      </c>
      <c r="B105" s="16">
        <v>41930</v>
      </c>
      <c r="C105" t="str">
        <v>Craig Reiter</v>
      </c>
      <c r="D105" t="str">
        <v>Brisbane</v>
      </c>
      <c r="E105" t="str">
        <v>Queensland</v>
      </c>
      <c r="F105" t="str">
        <v>Australia</v>
      </c>
      <c r="G105" t="str">
        <v>Oceania</v>
      </c>
      <c r="H105" t="str">
        <v/>
      </c>
      <c r="I105" t="str">
        <v/>
      </c>
      <c r="J105" t="str">
        <v/>
      </c>
      <c r="K105" t="str">
        <v/>
      </c>
      <c r="L105" t="str">
        <v/>
      </c>
      <c r="M105" t="str">
        <v/>
      </c>
      <c r="N105" t="str">
        <v/>
      </c>
      <c r="O105" t="str">
        <v/>
      </c>
    </row>
    <row r="106" spans="1:15" x14ac:dyDescent="0.3">
      <c r="A106" s="16">
        <v>41667</v>
      </c>
      <c r="B106" s="16">
        <v>41669</v>
      </c>
      <c r="C106" t="str">
        <v>Katherine Murray</v>
      </c>
      <c r="D106" t="str">
        <v>Berlin</v>
      </c>
      <c r="E106" t="str">
        <v>Berlin</v>
      </c>
      <c r="F106" t="str">
        <v>Germany</v>
      </c>
      <c r="G106" t="str">
        <v>Western Europe</v>
      </c>
      <c r="H106" t="str">
        <v>Europe</v>
      </c>
      <c r="I106" t="str">
        <v>Technology</v>
      </c>
      <c r="J106" t="str">
        <v>Home Office</v>
      </c>
      <c r="K106" t="str">
        <v>Phones</v>
      </c>
      <c r="L106">
        <v>2892.5099999999998</v>
      </c>
      <c r="M106">
        <v>5</v>
      </c>
      <c r="N106">
        <v>0.1</v>
      </c>
      <c r="O106">
        <v>-96.540000000000049</v>
      </c>
    </row>
    <row r="107" spans="1:15" x14ac:dyDescent="0.3">
      <c r="A107" s="16">
        <v>41818</v>
      </c>
      <c r="B107" s="16">
        <v>41821</v>
      </c>
      <c r="C107" t="str">
        <v>Jim Mitchum</v>
      </c>
      <c r="D107" t="str">
        <v>Sydney</v>
      </c>
      <c r="E107" t="str">
        <v>New South Wales</v>
      </c>
      <c r="F107" t="str">
        <v>Australia</v>
      </c>
      <c r="G107" t="str">
        <v>Oceania</v>
      </c>
      <c r="H107" t="str">
        <v>Asia Pacific</v>
      </c>
      <c r="I107" t="str">
        <v>Technology</v>
      </c>
      <c r="J107" t="str">
        <v>Corporate</v>
      </c>
      <c r="K107" t="str">
        <v>Phones</v>
      </c>
      <c r="L107">
        <v>2862.6750000000002</v>
      </c>
      <c r="M107">
        <v>5</v>
      </c>
      <c r="N107">
        <v>0.1</v>
      </c>
      <c r="O107">
        <v>763.27500000000009</v>
      </c>
    </row>
    <row r="108" spans="1:15" x14ac:dyDescent="0.3">
      <c r="A108" s="16">
        <v>41219</v>
      </c>
      <c r="B108" s="16">
        <v>41221</v>
      </c>
      <c r="C108" t="str">
        <v>Toby Swindell</v>
      </c>
      <c r="D108" t="str">
        <v>Porirua</v>
      </c>
      <c r="E108" t="str">
        <v>Wellington</v>
      </c>
      <c r="F108" t="str">
        <v>New Zealand</v>
      </c>
      <c r="G108" t="str">
        <v>Oceania</v>
      </c>
      <c r="H108" t="str">
        <v>Asia Pacific</v>
      </c>
      <c r="I108" t="str">
        <v>Furniture</v>
      </c>
      <c r="J108" t="str">
        <v>Consumer</v>
      </c>
      <c r="K108" t="str">
        <v>Chairs</v>
      </c>
      <c r="L108">
        <v>1822.0799999999997</v>
      </c>
      <c r="M108">
        <v>4</v>
      </c>
      <c r="N108">
        <v>0</v>
      </c>
      <c r="O108">
        <v>564.84</v>
      </c>
    </row>
    <row r="109" spans="1:15" x14ac:dyDescent="0.3">
      <c r="A109" s="16" t="str">
        <v/>
      </c>
      <c r="B109" s="16">
        <v>41382</v>
      </c>
      <c r="C109" t="str">
        <v>Mick Brown</v>
      </c>
      <c r="D109" t="str">
        <v>Hamilton</v>
      </c>
      <c r="E109" t="str">
        <v>Waikato</v>
      </c>
      <c r="F109" t="str">
        <v>New Zealand</v>
      </c>
      <c r="G109" t="str">
        <v>Oceania</v>
      </c>
      <c r="H109" t="str">
        <v>Asia Pacific</v>
      </c>
      <c r="I109" t="str">
        <v>Furniture</v>
      </c>
      <c r="J109" t="str">
        <v>Consumer</v>
      </c>
      <c r="K109" t="str">
        <v>Tables</v>
      </c>
      <c r="L109">
        <v>5244.84</v>
      </c>
      <c r="M109">
        <v>6</v>
      </c>
      <c r="N109">
        <v>0</v>
      </c>
      <c r="O109">
        <v>996.4799999999999</v>
      </c>
    </row>
    <row r="110" spans="1:15" x14ac:dyDescent="0.3">
      <c r="A110" s="16" t="str">
        <v/>
      </c>
      <c r="B110" s="16">
        <v>41956</v>
      </c>
      <c r="C110" t="str">
        <v>Aaron Bergman</v>
      </c>
      <c r="D110" t="str">
        <v>Oklahoma City</v>
      </c>
      <c r="E110" t="str">
        <v>Oklahoma</v>
      </c>
      <c r="F110" t="str">
        <v>United States</v>
      </c>
      <c r="G110" t="str">
        <v>Central US</v>
      </c>
      <c r="H110" t="str">
        <v>USCA</v>
      </c>
      <c r="I110" t="str">
        <v>Furniture</v>
      </c>
      <c r="J110" t="str">
        <v>Consumer</v>
      </c>
      <c r="K110" t="str">
        <v>Bookcases</v>
      </c>
      <c r="L110">
        <v>341.96</v>
      </c>
      <c r="M110">
        <v>2</v>
      </c>
      <c r="N110">
        <v>0</v>
      </c>
      <c r="O110">
        <v>54.713599999999985</v>
      </c>
    </row>
    <row r="111" spans="1:15" x14ac:dyDescent="0.3">
      <c r="A111" s="16">
        <v>40974</v>
      </c>
      <c r="B111" s="16">
        <v>40975</v>
      </c>
      <c r="C111" t="str">
        <v>Aaron Bergman</v>
      </c>
      <c r="D111" t="str">
        <v>Seattle</v>
      </c>
      <c r="E111" t="str">
        <v>Washington</v>
      </c>
      <c r="F111" t="str">
        <v>United States</v>
      </c>
      <c r="G111" t="str">
        <v>Western US</v>
      </c>
      <c r="H111" t="str">
        <v>USCA</v>
      </c>
      <c r="I111" t="str">
        <v>Furniture</v>
      </c>
      <c r="J111" t="str">
        <v>Consumer</v>
      </c>
      <c r="K111" t="str">
        <v>Chairs</v>
      </c>
      <c r="L111">
        <v>48.712000000000003</v>
      </c>
      <c r="M111">
        <v>1</v>
      </c>
      <c r="N111">
        <v>0.2</v>
      </c>
      <c r="O111">
        <v>5.4800999999999966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317E7-B552-43FE-B3C5-0C58E6D37EB9}">
  <sheetPr codeName="Sheet7"/>
  <dimension ref="A1:O10"/>
  <sheetViews>
    <sheetView workbookViewId="0"/>
  </sheetViews>
  <sheetFormatPr defaultRowHeight="14.4" x14ac:dyDescent="0.3"/>
  <cols>
    <col min="1" max="2" width="15.44140625" bestFit="1" customWidth="1"/>
    <col min="3" max="3" width="16.88671875" bestFit="1" customWidth="1"/>
    <col min="4" max="4" width="12.88671875" bestFit="1" customWidth="1"/>
    <col min="5" max="5" width="15.44140625" bestFit="1" customWidth="1"/>
    <col min="6" max="6" width="11.88671875" bestFit="1" customWidth="1"/>
    <col min="7" max="7" width="14.21875" bestFit="1" customWidth="1"/>
    <col min="8" max="8" width="10.109375" bestFit="1" customWidth="1"/>
    <col min="9" max="9" width="10.77734375" bestFit="1" customWidth="1"/>
    <col min="10" max="10" width="11.33203125" bestFit="1" customWidth="1"/>
    <col min="11" max="11" width="14.6640625" bestFit="1" customWidth="1"/>
    <col min="12" max="12" width="9" bestFit="1" customWidth="1"/>
    <col min="13" max="14" width="10.5546875" bestFit="1" customWidth="1"/>
    <col min="15" max="15" width="8" bestFit="1" customWidth="1"/>
  </cols>
  <sheetData>
    <row r="1" spans="1:1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5" x14ac:dyDescent="0.3">
      <c r="A2" s="41">
        <v>41954</v>
      </c>
      <c r="B2" s="41">
        <v>41956</v>
      </c>
      <c r="C2" t="s">
        <v>15</v>
      </c>
      <c r="D2" t="s">
        <v>16</v>
      </c>
      <c r="E2" t="s">
        <v>17</v>
      </c>
      <c r="F2" t="s">
        <v>18</v>
      </c>
      <c r="G2" t="s">
        <v>19</v>
      </c>
      <c r="H2" t="s">
        <v>20</v>
      </c>
      <c r="I2" t="s">
        <v>21</v>
      </c>
      <c r="J2" t="s">
        <v>22</v>
      </c>
      <c r="K2" t="s">
        <v>23</v>
      </c>
      <c r="L2">
        <v>221.98</v>
      </c>
      <c r="M2">
        <v>2</v>
      </c>
      <c r="N2">
        <v>0</v>
      </c>
      <c r="O2">
        <v>62.15440000000001</v>
      </c>
    </row>
    <row r="3" spans="1:15" x14ac:dyDescent="0.3">
      <c r="A3" s="41">
        <v>41675</v>
      </c>
      <c r="B3" s="41">
        <v>41677</v>
      </c>
      <c r="C3" t="s">
        <v>24</v>
      </c>
      <c r="D3" t="s">
        <v>25</v>
      </c>
      <c r="E3" t="s">
        <v>26</v>
      </c>
      <c r="F3" t="s">
        <v>27</v>
      </c>
      <c r="G3" t="s">
        <v>28</v>
      </c>
    </row>
    <row r="4" spans="1:15" x14ac:dyDescent="0.3">
      <c r="A4" s="41">
        <v>41929</v>
      </c>
      <c r="B4" s="41">
        <v>41930</v>
      </c>
      <c r="C4" t="s">
        <v>33</v>
      </c>
      <c r="D4" t="s">
        <v>34</v>
      </c>
      <c r="E4" t="s">
        <v>35</v>
      </c>
      <c r="F4" t="s">
        <v>27</v>
      </c>
      <c r="G4" t="s">
        <v>28</v>
      </c>
    </row>
    <row r="5" spans="1:15" x14ac:dyDescent="0.3">
      <c r="A5" s="41">
        <v>41667</v>
      </c>
      <c r="B5" s="41">
        <v>41669</v>
      </c>
      <c r="C5" t="s">
        <v>36</v>
      </c>
      <c r="D5" t="s">
        <v>37</v>
      </c>
      <c r="E5" t="s">
        <v>37</v>
      </c>
      <c r="F5" t="s">
        <v>38</v>
      </c>
      <c r="G5" t="s">
        <v>39</v>
      </c>
      <c r="H5" t="s">
        <v>40</v>
      </c>
      <c r="I5" t="s">
        <v>21</v>
      </c>
      <c r="J5" t="s">
        <v>41</v>
      </c>
      <c r="K5" t="s">
        <v>23</v>
      </c>
      <c r="L5">
        <v>2892.5099999999998</v>
      </c>
      <c r="M5">
        <v>5</v>
      </c>
      <c r="N5">
        <v>0.1</v>
      </c>
      <c r="O5">
        <v>-96.540000000000049</v>
      </c>
    </row>
    <row r="6" spans="1:15" x14ac:dyDescent="0.3">
      <c r="A6" s="41">
        <v>41818</v>
      </c>
      <c r="B6" s="41">
        <v>41821</v>
      </c>
      <c r="C6" t="s">
        <v>42</v>
      </c>
      <c r="D6" t="s">
        <v>43</v>
      </c>
      <c r="E6" t="s">
        <v>26</v>
      </c>
      <c r="F6" t="s">
        <v>27</v>
      </c>
      <c r="G6" t="s">
        <v>28</v>
      </c>
      <c r="H6" t="s">
        <v>29</v>
      </c>
      <c r="I6" t="s">
        <v>21</v>
      </c>
      <c r="J6" t="s">
        <v>31</v>
      </c>
      <c r="K6" t="s">
        <v>23</v>
      </c>
      <c r="L6">
        <v>2862.6750000000002</v>
      </c>
      <c r="M6">
        <v>5</v>
      </c>
      <c r="N6">
        <v>0.1</v>
      </c>
      <c r="O6">
        <v>763.27500000000009</v>
      </c>
    </row>
    <row r="7" spans="1:15" x14ac:dyDescent="0.3">
      <c r="A7" s="41">
        <v>41219</v>
      </c>
      <c r="B7" s="41">
        <v>41221</v>
      </c>
      <c r="C7" t="s">
        <v>44</v>
      </c>
      <c r="D7" t="s">
        <v>45</v>
      </c>
      <c r="E7" t="s">
        <v>46</v>
      </c>
      <c r="F7" t="s">
        <v>47</v>
      </c>
      <c r="G7" t="s">
        <v>28</v>
      </c>
      <c r="H7" t="s">
        <v>29</v>
      </c>
      <c r="I7" t="s">
        <v>30</v>
      </c>
      <c r="J7" t="s">
        <v>22</v>
      </c>
      <c r="K7" t="s">
        <v>32</v>
      </c>
      <c r="L7">
        <v>1822.0799999999997</v>
      </c>
      <c r="M7">
        <v>4</v>
      </c>
      <c r="N7">
        <v>0</v>
      </c>
      <c r="O7">
        <v>564.84</v>
      </c>
    </row>
    <row r="8" spans="1:15" x14ac:dyDescent="0.3">
      <c r="A8" s="41"/>
      <c r="B8" s="41">
        <v>41382</v>
      </c>
      <c r="C8" t="s">
        <v>48</v>
      </c>
      <c r="D8" t="s">
        <v>49</v>
      </c>
      <c r="E8" t="s">
        <v>50</v>
      </c>
      <c r="F8" t="s">
        <v>47</v>
      </c>
      <c r="G8" t="s">
        <v>28</v>
      </c>
      <c r="H8" t="s">
        <v>29</v>
      </c>
      <c r="I8" t="s">
        <v>30</v>
      </c>
      <c r="J8" t="s">
        <v>22</v>
      </c>
      <c r="K8" t="s">
        <v>51</v>
      </c>
      <c r="L8">
        <v>5244.84</v>
      </c>
      <c r="M8">
        <v>6</v>
      </c>
      <c r="N8">
        <v>0</v>
      </c>
      <c r="O8">
        <v>996.4799999999999</v>
      </c>
    </row>
    <row r="9" spans="1:15" x14ac:dyDescent="0.3">
      <c r="A9" s="41"/>
      <c r="B9" s="41">
        <v>41956</v>
      </c>
      <c r="C9" t="s">
        <v>15</v>
      </c>
      <c r="D9" t="s">
        <v>16</v>
      </c>
      <c r="E9" t="s">
        <v>17</v>
      </c>
      <c r="F9" t="s">
        <v>18</v>
      </c>
      <c r="G9" t="s">
        <v>19</v>
      </c>
      <c r="H9" t="s">
        <v>20</v>
      </c>
      <c r="I9" t="s">
        <v>30</v>
      </c>
      <c r="J9" t="s">
        <v>22</v>
      </c>
      <c r="K9" t="s">
        <v>52</v>
      </c>
      <c r="L9">
        <v>341.96</v>
      </c>
      <c r="M9">
        <v>2</v>
      </c>
      <c r="N9">
        <v>0</v>
      </c>
      <c r="O9">
        <v>54.713599999999985</v>
      </c>
    </row>
    <row r="10" spans="1:15" x14ac:dyDescent="0.3">
      <c r="A10" s="41">
        <v>40974</v>
      </c>
      <c r="B10" s="41">
        <v>40975</v>
      </c>
      <c r="C10" t="s">
        <v>15</v>
      </c>
      <c r="D10" t="s">
        <v>53</v>
      </c>
      <c r="E10" t="s">
        <v>54</v>
      </c>
      <c r="F10" t="s">
        <v>18</v>
      </c>
      <c r="G10" t="s">
        <v>55</v>
      </c>
      <c r="H10" t="s">
        <v>20</v>
      </c>
      <c r="I10" t="s">
        <v>30</v>
      </c>
      <c r="J10" t="s">
        <v>22</v>
      </c>
      <c r="K10" t="s">
        <v>32</v>
      </c>
      <c r="L10">
        <v>48.712000000000003</v>
      </c>
      <c r="M10">
        <v>1</v>
      </c>
      <c r="N10">
        <v>0.2</v>
      </c>
      <c r="O10">
        <v>5.4800999999999966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904FF-645C-440C-9C67-2F23F8EA8692}">
  <sheetPr codeName="Sheet3"/>
  <dimension ref="A1:O18"/>
  <sheetViews>
    <sheetView zoomScale="145" zoomScaleNormal="145" workbookViewId="0">
      <selection sqref="A1:O11"/>
    </sheetView>
  </sheetViews>
  <sheetFormatPr defaultRowHeight="14.4" x14ac:dyDescent="0.3"/>
  <cols>
    <col min="1" max="1" width="13.33203125" customWidth="1"/>
    <col min="2" max="2" width="15.6640625" customWidth="1"/>
    <col min="3" max="3" width="15.88671875" customWidth="1"/>
    <col min="4" max="4" width="12.88671875" bestFit="1" customWidth="1"/>
    <col min="5" max="5" width="15.44140625" bestFit="1" customWidth="1"/>
    <col min="6" max="6" width="11.88671875" bestFit="1" customWidth="1"/>
    <col min="7" max="7" width="14.21875" bestFit="1" customWidth="1"/>
    <col min="8" max="8" width="10.109375" bestFit="1" customWidth="1"/>
    <col min="9" max="9" width="10.33203125" bestFit="1" customWidth="1"/>
    <col min="10" max="10" width="11.33203125" bestFit="1" customWidth="1"/>
    <col min="11" max="11" width="13.44140625" customWidth="1"/>
    <col min="12" max="12" width="9" bestFit="1" customWidth="1"/>
    <col min="13" max="14" width="9.5546875" customWidth="1"/>
    <col min="15" max="15" width="8.21875" bestFit="1" customWidth="1"/>
  </cols>
  <sheetData>
    <row r="1" spans="1:15" x14ac:dyDescent="0.3">
      <c r="A1" s="35" t="s">
        <v>0</v>
      </c>
      <c r="B1" s="35" t="s">
        <v>1</v>
      </c>
      <c r="C1" s="36" t="s">
        <v>2</v>
      </c>
      <c r="D1" s="36" t="s">
        <v>3</v>
      </c>
      <c r="E1" s="36" t="s">
        <v>4</v>
      </c>
      <c r="F1" s="36" t="s">
        <v>5</v>
      </c>
      <c r="G1" s="36" t="s">
        <v>6</v>
      </c>
      <c r="H1" s="36" t="s">
        <v>7</v>
      </c>
      <c r="I1" s="36" t="s">
        <v>8</v>
      </c>
      <c r="J1" s="36" t="s">
        <v>9</v>
      </c>
      <c r="K1" s="36" t="s">
        <v>10</v>
      </c>
      <c r="L1" s="37" t="s">
        <v>11</v>
      </c>
      <c r="M1" s="36" t="s">
        <v>12</v>
      </c>
      <c r="N1" s="36" t="s">
        <v>13</v>
      </c>
      <c r="O1" s="37" t="s">
        <v>14</v>
      </c>
    </row>
    <row r="2" spans="1:15" x14ac:dyDescent="0.3">
      <c r="A2" s="7">
        <v>41954</v>
      </c>
      <c r="B2" s="7">
        <v>41956</v>
      </c>
      <c r="C2" s="8" t="s">
        <v>15</v>
      </c>
      <c r="D2" s="8" t="s">
        <v>16</v>
      </c>
      <c r="E2" s="8" t="s">
        <v>17</v>
      </c>
      <c r="F2" s="8" t="s">
        <v>18</v>
      </c>
      <c r="G2" s="8" t="s">
        <v>19</v>
      </c>
      <c r="H2" s="8" t="s">
        <v>20</v>
      </c>
      <c r="I2" s="8" t="s">
        <v>21</v>
      </c>
      <c r="J2" s="8" t="s">
        <v>22</v>
      </c>
      <c r="K2" s="8" t="s">
        <v>23</v>
      </c>
      <c r="L2" s="9">
        <v>221.98</v>
      </c>
      <c r="M2" s="8">
        <v>2</v>
      </c>
      <c r="N2" s="8">
        <v>0</v>
      </c>
      <c r="O2" s="9">
        <v>62.15440000000001</v>
      </c>
    </row>
    <row r="3" spans="1:15" x14ac:dyDescent="0.3">
      <c r="A3" s="12">
        <v>41675</v>
      </c>
      <c r="B3" s="12">
        <v>41677</v>
      </c>
      <c r="C3" s="13" t="s">
        <v>24</v>
      </c>
      <c r="D3" s="13" t="s">
        <v>25</v>
      </c>
      <c r="E3" s="13" t="s">
        <v>26</v>
      </c>
      <c r="F3" s="13" t="s">
        <v>27</v>
      </c>
      <c r="G3" s="13" t="s">
        <v>28</v>
      </c>
      <c r="H3" s="13"/>
      <c r="I3" s="13"/>
      <c r="J3" s="13"/>
      <c r="K3" s="13"/>
      <c r="L3" s="14"/>
      <c r="M3" s="13"/>
      <c r="N3" s="13"/>
      <c r="O3" s="14"/>
    </row>
    <row r="4" spans="1:15" x14ac:dyDescent="0.3">
      <c r="A4" s="7">
        <v>41929</v>
      </c>
      <c r="B4" s="7">
        <v>41930</v>
      </c>
      <c r="C4" s="8" t="s">
        <v>33</v>
      </c>
      <c r="D4" s="8" t="s">
        <v>34</v>
      </c>
      <c r="E4" s="8" t="s">
        <v>35</v>
      </c>
      <c r="F4" s="8" t="s">
        <v>27</v>
      </c>
      <c r="G4" s="8" t="s">
        <v>28</v>
      </c>
      <c r="H4" s="8"/>
      <c r="I4" s="8"/>
      <c r="J4" s="8"/>
      <c r="K4" s="8"/>
      <c r="L4" s="9"/>
      <c r="M4" s="8"/>
      <c r="N4" s="8"/>
      <c r="O4" s="9"/>
    </row>
    <row r="5" spans="1:15" x14ac:dyDescent="0.3">
      <c r="A5" s="12">
        <v>41667</v>
      </c>
      <c r="B5" s="12">
        <v>41669</v>
      </c>
      <c r="C5" s="13" t="s">
        <v>36</v>
      </c>
      <c r="D5" s="13" t="s">
        <v>37</v>
      </c>
      <c r="E5" s="13" t="s">
        <v>37</v>
      </c>
      <c r="F5" s="13" t="s">
        <v>38</v>
      </c>
      <c r="G5" s="13" t="s">
        <v>39</v>
      </c>
      <c r="H5" s="13" t="s">
        <v>40</v>
      </c>
      <c r="I5" s="13" t="s">
        <v>21</v>
      </c>
      <c r="J5" s="13" t="s">
        <v>41</v>
      </c>
      <c r="K5" s="13" t="s">
        <v>23</v>
      </c>
      <c r="L5" s="14">
        <v>2892.5099999999998</v>
      </c>
      <c r="M5" s="13">
        <v>5</v>
      </c>
      <c r="N5" s="13">
        <v>0.1</v>
      </c>
      <c r="O5" s="14">
        <v>-96.540000000000049</v>
      </c>
    </row>
    <row r="6" spans="1:15" x14ac:dyDescent="0.3">
      <c r="A6" s="7"/>
      <c r="B6" s="7"/>
      <c r="C6" s="8"/>
      <c r="D6" s="8"/>
      <c r="E6" s="8"/>
      <c r="F6" s="8"/>
      <c r="G6" s="8"/>
      <c r="H6" s="8"/>
      <c r="I6" s="8"/>
      <c r="J6" s="8"/>
      <c r="K6" s="8"/>
      <c r="L6" s="9"/>
      <c r="M6" s="8"/>
      <c r="N6" s="8"/>
      <c r="O6" s="9"/>
    </row>
    <row r="7" spans="1:15" x14ac:dyDescent="0.3">
      <c r="A7" s="12">
        <v>41818</v>
      </c>
      <c r="B7" s="12">
        <v>41821</v>
      </c>
      <c r="C7" s="13" t="s">
        <v>42</v>
      </c>
      <c r="D7" s="13" t="s">
        <v>43</v>
      </c>
      <c r="E7" s="13" t="s">
        <v>26</v>
      </c>
      <c r="F7" s="13" t="s">
        <v>27</v>
      </c>
      <c r="G7" s="13" t="s">
        <v>28</v>
      </c>
      <c r="H7" s="13" t="s">
        <v>29</v>
      </c>
      <c r="I7" s="13" t="s">
        <v>21</v>
      </c>
      <c r="J7" s="13" t="s">
        <v>31</v>
      </c>
      <c r="K7" s="13" t="s">
        <v>23</v>
      </c>
      <c r="L7" s="14">
        <v>2862.6750000000002</v>
      </c>
      <c r="M7" s="13">
        <v>5</v>
      </c>
      <c r="N7" s="13">
        <v>0.1</v>
      </c>
      <c r="O7" s="14">
        <v>763.27500000000009</v>
      </c>
    </row>
    <row r="8" spans="1:15" x14ac:dyDescent="0.3">
      <c r="A8" s="7">
        <v>41219</v>
      </c>
      <c r="B8" s="7">
        <v>41221</v>
      </c>
      <c r="C8" s="8" t="s">
        <v>44</v>
      </c>
      <c r="D8" s="8" t="s">
        <v>45</v>
      </c>
      <c r="E8" s="8" t="s">
        <v>46</v>
      </c>
      <c r="F8" s="8" t="s">
        <v>47</v>
      </c>
      <c r="G8" s="8" t="s">
        <v>28</v>
      </c>
      <c r="H8" s="8" t="s">
        <v>29</v>
      </c>
      <c r="I8" s="8" t="s">
        <v>30</v>
      </c>
      <c r="J8" s="8" t="s">
        <v>22</v>
      </c>
      <c r="K8" s="8" t="s">
        <v>32</v>
      </c>
      <c r="L8" s="9">
        <v>1822.0799999999997</v>
      </c>
      <c r="M8" s="8">
        <v>4</v>
      </c>
      <c r="N8" s="8">
        <v>0</v>
      </c>
      <c r="O8" s="9">
        <v>564.84</v>
      </c>
    </row>
    <row r="9" spans="1:15" x14ac:dyDescent="0.3">
      <c r="A9" s="12"/>
      <c r="B9" s="12">
        <v>41382</v>
      </c>
      <c r="C9" s="13" t="s">
        <v>48</v>
      </c>
      <c r="D9" s="13" t="s">
        <v>49</v>
      </c>
      <c r="E9" s="13" t="s">
        <v>50</v>
      </c>
      <c r="F9" s="13" t="s">
        <v>47</v>
      </c>
      <c r="G9" s="13" t="s">
        <v>28</v>
      </c>
      <c r="H9" s="13" t="s">
        <v>29</v>
      </c>
      <c r="I9" s="13" t="s">
        <v>30</v>
      </c>
      <c r="J9" s="13" t="s">
        <v>22</v>
      </c>
      <c r="K9" s="13" t="s">
        <v>51</v>
      </c>
      <c r="L9" s="14">
        <v>5244.84</v>
      </c>
      <c r="M9" s="13">
        <v>6</v>
      </c>
      <c r="N9" s="13">
        <v>0</v>
      </c>
      <c r="O9" s="14">
        <v>996.4799999999999</v>
      </c>
    </row>
    <row r="10" spans="1:15" x14ac:dyDescent="0.3">
      <c r="A10" s="7"/>
      <c r="B10" s="7">
        <v>41956</v>
      </c>
      <c r="C10" s="8" t="s">
        <v>15</v>
      </c>
      <c r="D10" s="8" t="s">
        <v>16</v>
      </c>
      <c r="E10" s="8" t="s">
        <v>17</v>
      </c>
      <c r="F10" s="8" t="s">
        <v>18</v>
      </c>
      <c r="G10" s="8" t="s">
        <v>19</v>
      </c>
      <c r="H10" s="8" t="s">
        <v>20</v>
      </c>
      <c r="I10" s="8" t="s">
        <v>30</v>
      </c>
      <c r="J10" s="8" t="s">
        <v>22</v>
      </c>
      <c r="K10" s="8" t="s">
        <v>52</v>
      </c>
      <c r="L10" s="9">
        <v>341.96</v>
      </c>
      <c r="M10" s="8">
        <v>2</v>
      </c>
      <c r="N10" s="8">
        <v>0</v>
      </c>
      <c r="O10" s="9">
        <v>54.713599999999985</v>
      </c>
    </row>
    <row r="11" spans="1:15" x14ac:dyDescent="0.3">
      <c r="A11" s="38">
        <v>40974</v>
      </c>
      <c r="B11" s="38">
        <v>40975</v>
      </c>
      <c r="C11" s="39" t="s">
        <v>15</v>
      </c>
      <c r="D11" s="39" t="s">
        <v>53</v>
      </c>
      <c r="E11" s="39" t="s">
        <v>54</v>
      </c>
      <c r="F11" s="39" t="s">
        <v>18</v>
      </c>
      <c r="G11" s="39" t="s">
        <v>55</v>
      </c>
      <c r="H11" s="39" t="s">
        <v>20</v>
      </c>
      <c r="I11" s="39" t="s">
        <v>30</v>
      </c>
      <c r="J11" s="39" t="s">
        <v>22</v>
      </c>
      <c r="K11" s="39" t="s">
        <v>32</v>
      </c>
      <c r="L11" s="40">
        <v>48.712000000000003</v>
      </c>
      <c r="M11" s="39">
        <v>1</v>
      </c>
      <c r="N11" s="39">
        <v>0.2</v>
      </c>
      <c r="O11" s="40">
        <v>5.4800999999999966</v>
      </c>
    </row>
    <row r="14" spans="1:15" x14ac:dyDescent="0.3">
      <c r="A14" s="16"/>
    </row>
    <row r="15" spans="1:15" x14ac:dyDescent="0.3">
      <c r="A15" s="16"/>
    </row>
    <row r="16" spans="1:15" x14ac:dyDescent="0.3">
      <c r="A16" s="16"/>
    </row>
    <row r="17" spans="1:1" x14ac:dyDescent="0.3">
      <c r="A17" s="16"/>
    </row>
    <row r="18" spans="1:1" x14ac:dyDescent="0.3">
      <c r="A18" s="16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C92F3-7E39-478C-8AB4-08EA8411E88F}">
  <sheetPr codeName="Sheet4"/>
  <dimension ref="A1:O16"/>
  <sheetViews>
    <sheetView zoomScale="115" zoomScaleNormal="115" workbookViewId="0">
      <selection activeCell="N11" sqref="N11"/>
    </sheetView>
  </sheetViews>
  <sheetFormatPr defaultRowHeight="14.4" x14ac:dyDescent="0.3"/>
  <cols>
    <col min="1" max="2" width="10.33203125" bestFit="1" customWidth="1"/>
    <col min="3" max="3" width="15.21875" bestFit="1" customWidth="1"/>
    <col min="4" max="4" width="12.88671875" bestFit="1" customWidth="1"/>
    <col min="5" max="5" width="15.44140625" bestFit="1" customWidth="1"/>
    <col min="6" max="6" width="11.88671875" bestFit="1" customWidth="1"/>
    <col min="7" max="7" width="14.21875" bestFit="1" customWidth="1"/>
    <col min="8" max="8" width="10.109375" bestFit="1" customWidth="1"/>
    <col min="9" max="9" width="10.33203125" bestFit="1" customWidth="1"/>
    <col min="10" max="10" width="11.33203125" bestFit="1" customWidth="1"/>
    <col min="11" max="11" width="12.44140625" bestFit="1" customWidth="1"/>
    <col min="12" max="12" width="9" bestFit="1" customWidth="1"/>
    <col min="13" max="14" width="8.33203125" bestFit="1" customWidth="1"/>
    <col min="15" max="15" width="8.21875" bestFit="1" customWidth="1"/>
  </cols>
  <sheetData>
    <row r="1" spans="1:15" x14ac:dyDescent="0.3">
      <c r="A1" s="20" t="s">
        <v>0</v>
      </c>
      <c r="B1" s="21" t="s">
        <v>1</v>
      </c>
      <c r="C1" s="22" t="s">
        <v>2</v>
      </c>
      <c r="D1" s="22" t="s">
        <v>3</v>
      </c>
      <c r="E1" s="22" t="s">
        <v>4</v>
      </c>
      <c r="F1" s="22" t="s">
        <v>5</v>
      </c>
      <c r="G1" s="22" t="s">
        <v>6</v>
      </c>
      <c r="H1" s="22" t="s">
        <v>7</v>
      </c>
      <c r="I1" s="22" t="s">
        <v>8</v>
      </c>
      <c r="J1" s="22" t="s">
        <v>9</v>
      </c>
      <c r="K1" s="22" t="s">
        <v>10</v>
      </c>
      <c r="L1" s="23" t="s">
        <v>11</v>
      </c>
      <c r="M1" s="22" t="s">
        <v>12</v>
      </c>
      <c r="N1" s="22" t="s">
        <v>13</v>
      </c>
      <c r="O1" s="24" t="s">
        <v>14</v>
      </c>
    </row>
    <row r="2" spans="1:15" x14ac:dyDescent="0.3">
      <c r="A2" s="25">
        <v>41954</v>
      </c>
      <c r="B2" s="26">
        <v>41956</v>
      </c>
      <c r="C2" s="27" t="s">
        <v>15</v>
      </c>
      <c r="D2" s="27" t="s">
        <v>16</v>
      </c>
      <c r="E2" s="27" t="s">
        <v>17</v>
      </c>
      <c r="F2" s="27" t="s">
        <v>18</v>
      </c>
      <c r="G2" s="27" t="s">
        <v>19</v>
      </c>
      <c r="H2" s="27" t="s">
        <v>20</v>
      </c>
      <c r="I2" s="27" t="s">
        <v>21</v>
      </c>
      <c r="J2" s="27" t="s">
        <v>22</v>
      </c>
      <c r="K2" s="27" t="s">
        <v>23</v>
      </c>
      <c r="L2" s="28">
        <v>221.98</v>
      </c>
      <c r="M2" s="27">
        <v>2</v>
      </c>
      <c r="N2" s="27">
        <v>0</v>
      </c>
      <c r="O2" s="29">
        <v>62.15440000000001</v>
      </c>
    </row>
    <row r="3" spans="1:15" x14ac:dyDescent="0.3">
      <c r="A3" s="25">
        <v>41929</v>
      </c>
      <c r="B3" s="26">
        <v>41930</v>
      </c>
      <c r="C3" s="27" t="s">
        <v>33</v>
      </c>
      <c r="D3" s="27" t="s">
        <v>34</v>
      </c>
      <c r="E3" s="27" t="s">
        <v>35</v>
      </c>
      <c r="F3" s="27" t="s">
        <v>27</v>
      </c>
      <c r="G3" s="27" t="s">
        <v>28</v>
      </c>
      <c r="H3" s="27"/>
      <c r="I3" s="27"/>
      <c r="J3" s="27"/>
      <c r="K3" s="27"/>
      <c r="L3" s="28"/>
      <c r="M3" s="27"/>
      <c r="N3" s="27"/>
      <c r="O3" s="29"/>
    </row>
    <row r="4" spans="1:15" x14ac:dyDescent="0.3">
      <c r="A4" s="30">
        <v>41667</v>
      </c>
      <c r="B4" s="31">
        <v>41669</v>
      </c>
      <c r="C4" s="32" t="s">
        <v>36</v>
      </c>
      <c r="D4" s="32" t="s">
        <v>37</v>
      </c>
      <c r="E4" s="32" t="s">
        <v>37</v>
      </c>
      <c r="F4" s="32" t="s">
        <v>38</v>
      </c>
      <c r="G4" s="32" t="s">
        <v>39</v>
      </c>
      <c r="H4" s="32" t="s">
        <v>40</v>
      </c>
      <c r="I4" s="32" t="s">
        <v>21</v>
      </c>
      <c r="J4" s="32" t="s">
        <v>41</v>
      </c>
      <c r="K4" s="32" t="s">
        <v>23</v>
      </c>
      <c r="L4" s="33">
        <v>2892.5099999999998</v>
      </c>
      <c r="M4" s="32">
        <v>5</v>
      </c>
      <c r="N4" s="32">
        <v>0.1</v>
      </c>
      <c r="O4" s="34">
        <v>-96.540000000000049</v>
      </c>
    </row>
    <row r="5" spans="1:15" x14ac:dyDescent="0.3">
      <c r="A5" s="30">
        <v>41818</v>
      </c>
      <c r="B5" s="31">
        <v>41821</v>
      </c>
      <c r="C5" s="32" t="s">
        <v>42</v>
      </c>
      <c r="D5" s="32" t="s">
        <v>43</v>
      </c>
      <c r="E5" s="32" t="s">
        <v>26</v>
      </c>
      <c r="F5" s="32" t="s">
        <v>27</v>
      </c>
      <c r="G5" s="32" t="s">
        <v>28</v>
      </c>
      <c r="H5" s="32" t="s">
        <v>29</v>
      </c>
      <c r="I5" s="32" t="s">
        <v>21</v>
      </c>
      <c r="J5" s="32" t="s">
        <v>31</v>
      </c>
      <c r="K5" s="32" t="s">
        <v>23</v>
      </c>
      <c r="L5" s="33">
        <v>2862.6750000000002</v>
      </c>
      <c r="M5" s="32">
        <v>5</v>
      </c>
      <c r="N5" s="32">
        <v>0.1</v>
      </c>
      <c r="O5" s="34">
        <v>763.27500000000009</v>
      </c>
    </row>
    <row r="6" spans="1:15" x14ac:dyDescent="0.3">
      <c r="A6" s="25">
        <v>41219</v>
      </c>
      <c r="B6" s="26">
        <v>41221</v>
      </c>
      <c r="C6" s="27" t="s">
        <v>44</v>
      </c>
      <c r="D6" s="27" t="s">
        <v>45</v>
      </c>
      <c r="E6" s="27" t="s">
        <v>46</v>
      </c>
      <c r="F6" s="27" t="s">
        <v>47</v>
      </c>
      <c r="G6" s="27" t="s">
        <v>28</v>
      </c>
      <c r="H6" s="27" t="s">
        <v>29</v>
      </c>
      <c r="I6" s="27" t="s">
        <v>30</v>
      </c>
      <c r="J6" s="27" t="s">
        <v>22</v>
      </c>
      <c r="K6" s="27" t="s">
        <v>32</v>
      </c>
      <c r="L6" s="28">
        <v>1822.0799999999997</v>
      </c>
      <c r="M6" s="27">
        <v>4</v>
      </c>
      <c r="N6" s="27">
        <v>0</v>
      </c>
      <c r="O6" s="29">
        <v>564.84</v>
      </c>
    </row>
    <row r="7" spans="1:15" x14ac:dyDescent="0.3">
      <c r="A7" s="30"/>
      <c r="B7" s="31">
        <v>41382</v>
      </c>
      <c r="C7" s="32" t="s">
        <v>48</v>
      </c>
      <c r="D7" s="32" t="s">
        <v>49</v>
      </c>
      <c r="E7" s="32" t="s">
        <v>50</v>
      </c>
      <c r="F7" s="32" t="s">
        <v>47</v>
      </c>
      <c r="G7" s="32" t="s">
        <v>28</v>
      </c>
      <c r="H7" s="32" t="s">
        <v>29</v>
      </c>
      <c r="I7" s="32" t="s">
        <v>30</v>
      </c>
      <c r="J7" s="32" t="s">
        <v>22</v>
      </c>
      <c r="K7" s="32" t="s">
        <v>51</v>
      </c>
      <c r="L7" s="33">
        <v>5244.84</v>
      </c>
      <c r="M7" s="32">
        <v>6</v>
      </c>
      <c r="N7" s="32">
        <v>0</v>
      </c>
      <c r="O7" s="34">
        <v>996.4799999999999</v>
      </c>
    </row>
    <row r="8" spans="1:15" x14ac:dyDescent="0.3">
      <c r="A8" s="25"/>
      <c r="B8" s="26">
        <v>41956</v>
      </c>
      <c r="C8" s="27" t="s">
        <v>15</v>
      </c>
      <c r="D8" s="27" t="s">
        <v>16</v>
      </c>
      <c r="E8" s="27" t="s">
        <v>17</v>
      </c>
      <c r="F8" s="27" t="s">
        <v>18</v>
      </c>
      <c r="G8" s="27" t="s">
        <v>19</v>
      </c>
      <c r="H8" s="27" t="s">
        <v>20</v>
      </c>
      <c r="I8" s="27" t="s">
        <v>30</v>
      </c>
      <c r="J8" s="27" t="s">
        <v>22</v>
      </c>
      <c r="K8" s="27" t="s">
        <v>52</v>
      </c>
      <c r="L8" s="28">
        <v>341.96</v>
      </c>
      <c r="M8" s="27">
        <v>2</v>
      </c>
      <c r="N8" s="27">
        <v>0</v>
      </c>
      <c r="O8" s="29">
        <v>54.713599999999985</v>
      </c>
    </row>
    <row r="9" spans="1:15" x14ac:dyDescent="0.3">
      <c r="A9" s="30">
        <v>40974</v>
      </c>
      <c r="B9" s="31">
        <v>40975</v>
      </c>
      <c r="C9" s="32" t="s">
        <v>15</v>
      </c>
      <c r="D9" s="32" t="s">
        <v>53</v>
      </c>
      <c r="E9" s="32" t="s">
        <v>54</v>
      </c>
      <c r="F9" s="32" t="s">
        <v>18</v>
      </c>
      <c r="G9" s="32" t="s">
        <v>55</v>
      </c>
      <c r="H9" s="32" t="s">
        <v>20</v>
      </c>
      <c r="I9" s="32" t="s">
        <v>30</v>
      </c>
      <c r="J9" s="32" t="s">
        <v>22</v>
      </c>
      <c r="K9" s="32" t="s">
        <v>32</v>
      </c>
      <c r="L9" s="33">
        <v>48.712000000000003</v>
      </c>
      <c r="M9" s="32">
        <v>1</v>
      </c>
      <c r="N9" s="32">
        <v>0.2</v>
      </c>
      <c r="O9" s="34">
        <v>5.4800999999999966</v>
      </c>
    </row>
    <row r="12" spans="1:15" x14ac:dyDescent="0.3">
      <c r="A12" s="16"/>
    </row>
    <row r="13" spans="1:15" x14ac:dyDescent="0.3">
      <c r="A13" s="16"/>
    </row>
    <row r="14" spans="1:15" x14ac:dyDescent="0.3">
      <c r="A14" s="16"/>
    </row>
    <row r="15" spans="1:15" x14ac:dyDescent="0.3">
      <c r="A15" s="16"/>
    </row>
    <row r="16" spans="1:15" x14ac:dyDescent="0.3">
      <c r="A16" s="1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6E302-0B02-4BA6-A8C0-05A26A6273FF}">
  <sheetPr codeName="Sheet6"/>
  <dimension ref="A1:O11"/>
  <sheetViews>
    <sheetView zoomScale="115" zoomScaleNormal="115" workbookViewId="0">
      <selection activeCell="M3" sqref="A1:O6"/>
    </sheetView>
  </sheetViews>
  <sheetFormatPr defaultRowHeight="14.4" x14ac:dyDescent="0.3"/>
  <cols>
    <col min="1" max="2" width="10.33203125" bestFit="1" customWidth="1"/>
    <col min="3" max="3" width="15.21875" bestFit="1" customWidth="1"/>
    <col min="4" max="4" width="12.88671875" bestFit="1" customWidth="1"/>
    <col min="5" max="5" width="15.44140625" bestFit="1" customWidth="1"/>
    <col min="6" max="6" width="11.88671875" bestFit="1" customWidth="1"/>
    <col min="7" max="7" width="14.21875" bestFit="1" customWidth="1"/>
    <col min="8" max="8" width="10.109375" bestFit="1" customWidth="1"/>
    <col min="9" max="9" width="10.33203125" bestFit="1" customWidth="1"/>
    <col min="10" max="10" width="11.33203125" bestFit="1" customWidth="1"/>
    <col min="11" max="11" width="12.44140625" bestFit="1" customWidth="1"/>
    <col min="12" max="12" width="10.88671875" customWidth="1"/>
    <col min="13" max="14" width="8.33203125" bestFit="1" customWidth="1"/>
    <col min="15" max="15" width="8.21875" bestFit="1" customWidth="1"/>
  </cols>
  <sheetData>
    <row r="1" spans="1:15" x14ac:dyDescent="0.3">
      <c r="A1" s="20" t="s">
        <v>0</v>
      </c>
      <c r="B1" s="21" t="s">
        <v>1</v>
      </c>
      <c r="C1" s="22" t="s">
        <v>2</v>
      </c>
      <c r="D1" s="22" t="s">
        <v>3</v>
      </c>
      <c r="E1" s="22" t="s">
        <v>4</v>
      </c>
      <c r="F1" s="22" t="s">
        <v>5</v>
      </c>
      <c r="G1" s="22" t="s">
        <v>6</v>
      </c>
      <c r="H1" s="22" t="s">
        <v>7</v>
      </c>
      <c r="I1" s="22" t="s">
        <v>8</v>
      </c>
      <c r="J1" s="22" t="s">
        <v>9</v>
      </c>
      <c r="K1" s="22" t="s">
        <v>10</v>
      </c>
      <c r="L1" s="23" t="s">
        <v>11</v>
      </c>
      <c r="M1" s="22" t="s">
        <v>12</v>
      </c>
      <c r="N1" s="22" t="s">
        <v>13</v>
      </c>
      <c r="O1" s="24" t="s">
        <v>14</v>
      </c>
    </row>
    <row r="2" spans="1:15" x14ac:dyDescent="0.3">
      <c r="A2" s="25">
        <v>41954</v>
      </c>
      <c r="B2" s="26">
        <v>41956</v>
      </c>
      <c r="C2" s="27" t="s">
        <v>15</v>
      </c>
      <c r="D2" s="27" t="s">
        <v>16</v>
      </c>
      <c r="E2" s="27" t="s">
        <v>17</v>
      </c>
      <c r="F2" s="27" t="s">
        <v>18</v>
      </c>
      <c r="G2" s="27" t="s">
        <v>19</v>
      </c>
      <c r="H2" s="27" t="s">
        <v>20</v>
      </c>
      <c r="I2" s="27" t="s">
        <v>21</v>
      </c>
      <c r="J2" s="27" t="s">
        <v>22</v>
      </c>
      <c r="K2" s="27" t="s">
        <v>23</v>
      </c>
      <c r="L2" s="28">
        <v>221.98</v>
      </c>
      <c r="M2" s="27">
        <v>2</v>
      </c>
      <c r="N2" s="27">
        <v>0</v>
      </c>
      <c r="O2" s="29">
        <v>62.15440000000001</v>
      </c>
    </row>
    <row r="3" spans="1:15" x14ac:dyDescent="0.3">
      <c r="A3" s="30">
        <v>41667</v>
      </c>
      <c r="B3" s="31">
        <v>41669</v>
      </c>
      <c r="C3" s="32" t="s">
        <v>36</v>
      </c>
      <c r="D3" s="32" t="s">
        <v>37</v>
      </c>
      <c r="E3" s="32" t="s">
        <v>37</v>
      </c>
      <c r="F3" s="32" t="s">
        <v>38</v>
      </c>
      <c r="G3" s="32" t="s">
        <v>39</v>
      </c>
      <c r="H3" s="32" t="s">
        <v>40</v>
      </c>
      <c r="I3" s="32" t="s">
        <v>21</v>
      </c>
      <c r="J3" s="32" t="s">
        <v>41</v>
      </c>
      <c r="K3" s="32" t="s">
        <v>23</v>
      </c>
      <c r="L3" s="33">
        <v>2892.5099999999998</v>
      </c>
      <c r="M3" s="32">
        <v>5</v>
      </c>
      <c r="N3" s="32">
        <v>0.1</v>
      </c>
      <c r="O3" s="34">
        <v>-96.540000000000049</v>
      </c>
    </row>
    <row r="4" spans="1:15" x14ac:dyDescent="0.3">
      <c r="A4" s="30">
        <v>41818</v>
      </c>
      <c r="B4" s="31">
        <v>41821</v>
      </c>
      <c r="C4" s="32" t="s">
        <v>42</v>
      </c>
      <c r="D4" s="32" t="s">
        <v>43</v>
      </c>
      <c r="E4" s="32" t="s">
        <v>26</v>
      </c>
      <c r="F4" s="32" t="s">
        <v>27</v>
      </c>
      <c r="G4" s="32" t="s">
        <v>28</v>
      </c>
      <c r="H4" s="32" t="s">
        <v>29</v>
      </c>
      <c r="I4" s="32" t="s">
        <v>21</v>
      </c>
      <c r="J4" s="32" t="s">
        <v>31</v>
      </c>
      <c r="K4" s="32" t="s">
        <v>23</v>
      </c>
      <c r="L4" s="33">
        <v>2862.6750000000002</v>
      </c>
      <c r="M4" s="32">
        <v>5</v>
      </c>
      <c r="N4" s="32">
        <v>0.1</v>
      </c>
      <c r="O4" s="34">
        <v>763.27500000000009</v>
      </c>
    </row>
    <row r="5" spans="1:15" x14ac:dyDescent="0.3">
      <c r="A5" s="25">
        <v>41219</v>
      </c>
      <c r="B5" s="26">
        <v>41221</v>
      </c>
      <c r="C5" s="27" t="s">
        <v>44</v>
      </c>
      <c r="D5" s="27" t="s">
        <v>45</v>
      </c>
      <c r="E5" s="27" t="s">
        <v>46</v>
      </c>
      <c r="F5" s="27" t="s">
        <v>47</v>
      </c>
      <c r="G5" s="27" t="s">
        <v>28</v>
      </c>
      <c r="H5" s="27" t="s">
        <v>29</v>
      </c>
      <c r="I5" s="27" t="s">
        <v>30</v>
      </c>
      <c r="J5" s="27" t="s">
        <v>22</v>
      </c>
      <c r="K5" s="27" t="s">
        <v>32</v>
      </c>
      <c r="L5" s="28">
        <v>1822.0799999999997</v>
      </c>
      <c r="M5" s="27">
        <v>4</v>
      </c>
      <c r="N5" s="27">
        <v>0</v>
      </c>
      <c r="O5" s="29">
        <v>564.84</v>
      </c>
    </row>
    <row r="6" spans="1:15" x14ac:dyDescent="0.3">
      <c r="A6" s="30">
        <v>40974</v>
      </c>
      <c r="B6" s="31">
        <v>40975</v>
      </c>
      <c r="C6" s="32" t="s">
        <v>15</v>
      </c>
      <c r="D6" s="32" t="s">
        <v>53</v>
      </c>
      <c r="E6" s="32" t="s">
        <v>54</v>
      </c>
      <c r="F6" s="32" t="s">
        <v>18</v>
      </c>
      <c r="G6" s="32" t="s">
        <v>55</v>
      </c>
      <c r="H6" s="32" t="s">
        <v>20</v>
      </c>
      <c r="I6" s="32" t="s">
        <v>30</v>
      </c>
      <c r="J6" s="32" t="s">
        <v>22</v>
      </c>
      <c r="K6" s="32" t="s">
        <v>32</v>
      </c>
      <c r="L6" s="33">
        <v>48.712000000000003</v>
      </c>
      <c r="M6" s="32">
        <v>1</v>
      </c>
      <c r="N6" s="32">
        <v>0.2</v>
      </c>
      <c r="O6" s="34">
        <v>5.4800999999999966</v>
      </c>
    </row>
    <row r="7" spans="1:15" x14ac:dyDescent="0.3">
      <c r="A7" s="16"/>
    </row>
    <row r="8" spans="1:15" x14ac:dyDescent="0.3">
      <c r="A8" s="16"/>
    </row>
    <row r="9" spans="1:15" x14ac:dyDescent="0.3">
      <c r="A9" s="16"/>
    </row>
    <row r="10" spans="1:15" x14ac:dyDescent="0.3">
      <c r="A10" s="16"/>
    </row>
    <row r="11" spans="1:15" x14ac:dyDescent="0.3">
      <c r="A11" s="1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C1657-C602-4E04-81FB-89728CCD1E12}">
  <sheetPr codeName="Sheet5"/>
  <dimension ref="A1:O18"/>
  <sheetViews>
    <sheetView zoomScale="115" zoomScaleNormal="115" workbookViewId="0">
      <selection activeCell="A5" sqref="A5"/>
    </sheetView>
  </sheetViews>
  <sheetFormatPr defaultRowHeight="14.4" x14ac:dyDescent="0.3"/>
  <cols>
    <col min="1" max="2" width="10.33203125" bestFit="1" customWidth="1"/>
    <col min="3" max="3" width="15.21875" bestFit="1" customWidth="1"/>
    <col min="4" max="4" width="12.88671875" bestFit="1" customWidth="1"/>
    <col min="5" max="5" width="15.44140625" bestFit="1" customWidth="1"/>
    <col min="6" max="6" width="11.88671875" bestFit="1" customWidth="1"/>
    <col min="7" max="7" width="14.21875" bestFit="1" customWidth="1"/>
    <col min="8" max="8" width="10.109375" bestFit="1" customWidth="1"/>
    <col min="9" max="9" width="10.33203125" bestFit="1" customWidth="1"/>
    <col min="10" max="10" width="11.33203125" bestFit="1" customWidth="1"/>
    <col min="11" max="11" width="12.44140625" bestFit="1" customWidth="1"/>
    <col min="12" max="12" width="9" bestFit="1" customWidth="1"/>
    <col min="13" max="14" width="8.33203125" bestFit="1" customWidth="1"/>
    <col min="15" max="15" width="8.21875" bestFit="1" customWidth="1"/>
  </cols>
  <sheetData>
    <row r="1" spans="1:15" x14ac:dyDescent="0.3">
      <c r="A1" s="1" t="s">
        <v>0</v>
      </c>
      <c r="B1" s="2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4" t="s">
        <v>11</v>
      </c>
      <c r="M1" s="3" t="s">
        <v>12</v>
      </c>
      <c r="N1" s="3" t="s">
        <v>13</v>
      </c>
      <c r="O1" s="5" t="s">
        <v>14</v>
      </c>
    </row>
    <row r="2" spans="1:15" x14ac:dyDescent="0.3">
      <c r="A2" s="6">
        <v>41954</v>
      </c>
      <c r="B2" s="7">
        <v>41956</v>
      </c>
      <c r="C2" s="8" t="s">
        <v>15</v>
      </c>
      <c r="D2" s="8" t="s">
        <v>16</v>
      </c>
      <c r="E2" s="8" t="s">
        <v>17</v>
      </c>
      <c r="F2" s="8" t="s">
        <v>18</v>
      </c>
      <c r="G2" s="8" t="s">
        <v>19</v>
      </c>
      <c r="H2" s="8" t="s">
        <v>20</v>
      </c>
      <c r="I2" s="8" t="s">
        <v>21</v>
      </c>
      <c r="J2" s="8" t="s">
        <v>22</v>
      </c>
      <c r="K2" s="8" t="s">
        <v>23</v>
      </c>
      <c r="L2" s="9">
        <v>221.98</v>
      </c>
      <c r="M2" s="8">
        <v>2</v>
      </c>
      <c r="N2" s="8">
        <v>0</v>
      </c>
      <c r="O2" s="10">
        <v>62.15440000000001</v>
      </c>
    </row>
    <row r="3" spans="1:15" x14ac:dyDescent="0.3">
      <c r="A3" s="11">
        <v>41675</v>
      </c>
      <c r="B3" s="12">
        <v>41677</v>
      </c>
      <c r="C3" s="13" t="s">
        <v>24</v>
      </c>
      <c r="D3" s="13" t="s">
        <v>25</v>
      </c>
      <c r="E3" s="13" t="s">
        <v>26</v>
      </c>
      <c r="F3" s="13" t="s">
        <v>27</v>
      </c>
      <c r="G3" s="13" t="s">
        <v>28</v>
      </c>
      <c r="H3" s="13"/>
      <c r="I3" s="13"/>
      <c r="J3" s="13"/>
      <c r="K3" s="13"/>
      <c r="L3" s="14"/>
      <c r="M3" s="13"/>
      <c r="N3" s="13"/>
      <c r="O3" s="15"/>
    </row>
    <row r="4" spans="1:15" x14ac:dyDescent="0.3">
      <c r="A4" s="6">
        <v>41929</v>
      </c>
      <c r="B4" s="7">
        <v>41930</v>
      </c>
      <c r="C4" s="8" t="s">
        <v>33</v>
      </c>
      <c r="D4" s="8" t="s">
        <v>34</v>
      </c>
      <c r="E4" s="8" t="s">
        <v>35</v>
      </c>
      <c r="F4" s="8" t="s">
        <v>27</v>
      </c>
      <c r="G4" s="8" t="s">
        <v>28</v>
      </c>
      <c r="H4" s="8"/>
      <c r="I4" s="8"/>
      <c r="J4" s="8"/>
      <c r="K4" s="8"/>
      <c r="L4" s="9"/>
      <c r="M4" s="8"/>
      <c r="N4" s="8"/>
      <c r="O4" s="10"/>
    </row>
    <row r="5" spans="1:15" x14ac:dyDescent="0.3">
      <c r="A5" s="11">
        <v>41667</v>
      </c>
      <c r="B5" s="12">
        <v>41669</v>
      </c>
      <c r="C5" s="13" t="s">
        <v>36</v>
      </c>
      <c r="D5" s="13" t="s">
        <v>37</v>
      </c>
      <c r="E5" s="13" t="s">
        <v>37</v>
      </c>
      <c r="F5" s="13" t="s">
        <v>38</v>
      </c>
      <c r="G5" s="13" t="s">
        <v>39</v>
      </c>
      <c r="H5" s="13" t="s">
        <v>40</v>
      </c>
      <c r="I5" s="13" t="s">
        <v>21</v>
      </c>
      <c r="J5" s="13" t="s">
        <v>41</v>
      </c>
      <c r="K5" s="13" t="s">
        <v>23</v>
      </c>
      <c r="L5" s="14">
        <v>2892.5099999999998</v>
      </c>
      <c r="M5" s="13">
        <v>5</v>
      </c>
      <c r="N5" s="13">
        <v>0.1</v>
      </c>
      <c r="O5" s="15">
        <v>-96.540000000000049</v>
      </c>
    </row>
    <row r="6" spans="1:15" x14ac:dyDescent="0.3">
      <c r="A6" s="6"/>
      <c r="B6" s="7"/>
      <c r="C6" s="8"/>
      <c r="D6" s="8"/>
      <c r="E6" s="8"/>
      <c r="F6" s="8"/>
      <c r="G6" s="8"/>
      <c r="H6" s="8"/>
      <c r="I6" s="8"/>
      <c r="J6" s="8"/>
      <c r="K6" s="8"/>
      <c r="L6" s="9"/>
      <c r="M6" s="8"/>
      <c r="N6" s="8"/>
      <c r="O6" s="10"/>
    </row>
    <row r="7" spans="1:15" x14ac:dyDescent="0.3">
      <c r="A7" s="11">
        <v>41818</v>
      </c>
      <c r="B7" s="12">
        <v>41821</v>
      </c>
      <c r="C7" s="13" t="s">
        <v>42</v>
      </c>
      <c r="D7" s="13" t="s">
        <v>43</v>
      </c>
      <c r="E7" s="13" t="s">
        <v>26</v>
      </c>
      <c r="F7" s="13" t="s">
        <v>27</v>
      </c>
      <c r="G7" s="13" t="s">
        <v>28</v>
      </c>
      <c r="H7" s="13" t="s">
        <v>29</v>
      </c>
      <c r="I7" s="13" t="s">
        <v>21</v>
      </c>
      <c r="J7" s="13" t="s">
        <v>31</v>
      </c>
      <c r="K7" s="13" t="s">
        <v>23</v>
      </c>
      <c r="L7" s="14">
        <v>2862.6750000000002</v>
      </c>
      <c r="M7" s="13">
        <v>5</v>
      </c>
      <c r="N7" s="13">
        <v>0.1</v>
      </c>
      <c r="O7" s="15">
        <v>763.27500000000009</v>
      </c>
    </row>
    <row r="8" spans="1:15" x14ac:dyDescent="0.3">
      <c r="A8" s="6">
        <v>41219</v>
      </c>
      <c r="B8" s="7">
        <v>41221</v>
      </c>
      <c r="C8" s="8" t="s">
        <v>44</v>
      </c>
      <c r="D8" s="8" t="s">
        <v>45</v>
      </c>
      <c r="E8" s="8" t="s">
        <v>46</v>
      </c>
      <c r="F8" s="8" t="s">
        <v>47</v>
      </c>
      <c r="G8" s="8" t="s">
        <v>28</v>
      </c>
      <c r="H8" s="8" t="s">
        <v>29</v>
      </c>
      <c r="I8" s="8" t="s">
        <v>30</v>
      </c>
      <c r="J8" s="8" t="s">
        <v>22</v>
      </c>
      <c r="K8" s="8" t="s">
        <v>32</v>
      </c>
      <c r="L8" s="9">
        <v>1822.0799999999997</v>
      </c>
      <c r="M8" s="8">
        <v>4</v>
      </c>
      <c r="N8" s="8">
        <v>0</v>
      </c>
      <c r="O8" s="10">
        <v>564.84</v>
      </c>
    </row>
    <row r="9" spans="1:15" x14ac:dyDescent="0.3">
      <c r="A9" s="11"/>
      <c r="B9" s="12">
        <v>41382</v>
      </c>
      <c r="C9" s="13" t="s">
        <v>48</v>
      </c>
      <c r="D9" s="13" t="s">
        <v>49</v>
      </c>
      <c r="E9" s="13" t="s">
        <v>50</v>
      </c>
      <c r="F9" s="13" t="s">
        <v>47</v>
      </c>
      <c r="G9" s="13" t="s">
        <v>28</v>
      </c>
      <c r="H9" s="13" t="s">
        <v>29</v>
      </c>
      <c r="I9" s="13" t="s">
        <v>30</v>
      </c>
      <c r="J9" s="13" t="s">
        <v>22</v>
      </c>
      <c r="K9" s="13" t="s">
        <v>51</v>
      </c>
      <c r="L9" s="14">
        <v>5244.84</v>
      </c>
      <c r="M9" s="13">
        <v>6</v>
      </c>
      <c r="N9" s="13">
        <v>0</v>
      </c>
      <c r="O9" s="15">
        <v>996.4799999999999</v>
      </c>
    </row>
    <row r="10" spans="1:15" x14ac:dyDescent="0.3">
      <c r="A10" s="6"/>
      <c r="B10" s="7">
        <v>41956</v>
      </c>
      <c r="C10" s="8" t="s">
        <v>15</v>
      </c>
      <c r="D10" s="8" t="s">
        <v>16</v>
      </c>
      <c r="E10" s="8" t="s">
        <v>17</v>
      </c>
      <c r="F10" s="8" t="s">
        <v>18</v>
      </c>
      <c r="G10" s="8" t="s">
        <v>19</v>
      </c>
      <c r="H10" s="8" t="s">
        <v>20</v>
      </c>
      <c r="I10" s="8" t="s">
        <v>30</v>
      </c>
      <c r="J10" s="8" t="s">
        <v>22</v>
      </c>
      <c r="K10" s="8" t="s">
        <v>52</v>
      </c>
      <c r="L10" s="9">
        <v>341.96</v>
      </c>
      <c r="M10" s="8">
        <v>2</v>
      </c>
      <c r="N10" s="8">
        <v>0</v>
      </c>
      <c r="O10" s="10">
        <v>54.713599999999985</v>
      </c>
    </row>
    <row r="11" spans="1:15" x14ac:dyDescent="0.3">
      <c r="A11" s="11">
        <v>40974</v>
      </c>
      <c r="B11" s="12">
        <v>40975</v>
      </c>
      <c r="C11" s="13" t="s">
        <v>15</v>
      </c>
      <c r="D11" s="13" t="s">
        <v>53</v>
      </c>
      <c r="E11" s="13" t="s">
        <v>54</v>
      </c>
      <c r="F11" s="13" t="s">
        <v>18</v>
      </c>
      <c r="G11" s="13" t="s">
        <v>55</v>
      </c>
      <c r="H11" s="13" t="s">
        <v>20</v>
      </c>
      <c r="I11" s="13" t="s">
        <v>30</v>
      </c>
      <c r="J11" s="13" t="s">
        <v>22</v>
      </c>
      <c r="K11" s="13" t="s">
        <v>32</v>
      </c>
      <c r="L11" s="14">
        <v>48.712000000000003</v>
      </c>
      <c r="M11" s="13">
        <v>1</v>
      </c>
      <c r="N11" s="13">
        <v>0.2</v>
      </c>
      <c r="O11" s="15">
        <v>5.4800999999999966</v>
      </c>
    </row>
    <row r="14" spans="1:15" x14ac:dyDescent="0.3">
      <c r="A14" s="16"/>
    </row>
    <row r="15" spans="1:15" x14ac:dyDescent="0.3">
      <c r="A15" s="16"/>
    </row>
    <row r="16" spans="1:15" x14ac:dyDescent="0.3">
      <c r="A16" s="16"/>
    </row>
    <row r="17" spans="1:1" x14ac:dyDescent="0.3">
      <c r="A17" s="16"/>
    </row>
    <row r="18" spans="1:1" x14ac:dyDescent="0.3">
      <c r="A18" s="1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51A13-C904-4A77-883F-48E2C10B8657}">
  <dimension ref="A1:F72"/>
  <sheetViews>
    <sheetView workbookViewId="0"/>
  </sheetViews>
  <sheetFormatPr defaultRowHeight="14.4" x14ac:dyDescent="0.3"/>
  <sheetData>
    <row r="1" spans="1:6" x14ac:dyDescent="0.3">
      <c r="A1" t="s">
        <v>64</v>
      </c>
      <c r="B1" t="s">
        <v>65</v>
      </c>
      <c r="C1" t="s">
        <v>66</v>
      </c>
      <c r="D1" t="s">
        <v>67</v>
      </c>
      <c r="E1" t="s">
        <v>69</v>
      </c>
      <c r="F1" t="s">
        <v>70</v>
      </c>
    </row>
    <row r="2" spans="1:6" x14ac:dyDescent="0.3">
      <c r="A2">
        <v>1</v>
      </c>
      <c r="B2">
        <v>1</v>
      </c>
      <c r="C2">
        <v>1</v>
      </c>
      <c r="D2">
        <v>1</v>
      </c>
      <c r="E2">
        <v>1</v>
      </c>
      <c r="F2">
        <v>70</v>
      </c>
    </row>
    <row r="3" spans="1:6" x14ac:dyDescent="0.3">
      <c r="A3">
        <v>72</v>
      </c>
      <c r="B3">
        <v>6</v>
      </c>
      <c r="D3" t="s">
        <v>68</v>
      </c>
      <c r="E3">
        <v>0</v>
      </c>
      <c r="F3" s="42" t="s">
        <v>71</v>
      </c>
    </row>
    <row r="4" spans="1:6" x14ac:dyDescent="0.3">
      <c r="F4" s="42" t="s">
        <v>72</v>
      </c>
    </row>
    <row r="5" spans="1:6" x14ac:dyDescent="0.3">
      <c r="F5" s="42" t="s">
        <v>73</v>
      </c>
    </row>
    <row r="6" spans="1:6" x14ac:dyDescent="0.3">
      <c r="F6" s="42" t="s">
        <v>74</v>
      </c>
    </row>
    <row r="7" spans="1:6" x14ac:dyDescent="0.3">
      <c r="F7" s="42" t="s">
        <v>75</v>
      </c>
    </row>
    <row r="8" spans="1:6" x14ac:dyDescent="0.3">
      <c r="F8" s="42" t="s">
        <v>76</v>
      </c>
    </row>
    <row r="9" spans="1:6" x14ac:dyDescent="0.3">
      <c r="F9" s="42" t="s">
        <v>77</v>
      </c>
    </row>
    <row r="10" spans="1:6" x14ac:dyDescent="0.3">
      <c r="F10" s="42" t="s">
        <v>78</v>
      </c>
    </row>
    <row r="11" spans="1:6" x14ac:dyDescent="0.3">
      <c r="F11" s="42" t="s">
        <v>79</v>
      </c>
    </row>
    <row r="12" spans="1:6" x14ac:dyDescent="0.3">
      <c r="F12" s="42" t="s">
        <v>80</v>
      </c>
    </row>
    <row r="13" spans="1:6" x14ac:dyDescent="0.3">
      <c r="F13" s="42" t="s">
        <v>81</v>
      </c>
    </row>
    <row r="14" spans="1:6" x14ac:dyDescent="0.3">
      <c r="F14" s="42" t="s">
        <v>82</v>
      </c>
    </row>
    <row r="15" spans="1:6" x14ac:dyDescent="0.3">
      <c r="F15" s="42" t="s">
        <v>83</v>
      </c>
    </row>
    <row r="16" spans="1:6" x14ac:dyDescent="0.3">
      <c r="F16" s="42" t="s">
        <v>84</v>
      </c>
    </row>
    <row r="17" spans="6:6" x14ac:dyDescent="0.3">
      <c r="F17" s="42" t="s">
        <v>72</v>
      </c>
    </row>
    <row r="18" spans="6:6" x14ac:dyDescent="0.3">
      <c r="F18" s="42" t="s">
        <v>73</v>
      </c>
    </row>
    <row r="19" spans="6:6" x14ac:dyDescent="0.3">
      <c r="F19" s="42" t="s">
        <v>74</v>
      </c>
    </row>
    <row r="20" spans="6:6" x14ac:dyDescent="0.3">
      <c r="F20" s="42" t="s">
        <v>75</v>
      </c>
    </row>
    <row r="21" spans="6:6" x14ac:dyDescent="0.3">
      <c r="F21" s="42" t="s">
        <v>76</v>
      </c>
    </row>
    <row r="22" spans="6:6" x14ac:dyDescent="0.3">
      <c r="F22" s="42" t="s">
        <v>77</v>
      </c>
    </row>
    <row r="23" spans="6:6" x14ac:dyDescent="0.3">
      <c r="F23" s="42" t="s">
        <v>78</v>
      </c>
    </row>
    <row r="24" spans="6:6" x14ac:dyDescent="0.3">
      <c r="F24" s="42" t="s">
        <v>79</v>
      </c>
    </row>
    <row r="25" spans="6:6" x14ac:dyDescent="0.3">
      <c r="F25" s="42" t="s">
        <v>85</v>
      </c>
    </row>
    <row r="26" spans="6:6" x14ac:dyDescent="0.3">
      <c r="F26" s="42" t="s">
        <v>86</v>
      </c>
    </row>
    <row r="27" spans="6:6" x14ac:dyDescent="0.3">
      <c r="F27" s="42" t="s">
        <v>87</v>
      </c>
    </row>
    <row r="28" spans="6:6" x14ac:dyDescent="0.3">
      <c r="F28" s="42" t="s">
        <v>88</v>
      </c>
    </row>
    <row r="29" spans="6:6" x14ac:dyDescent="0.3">
      <c r="F29" s="42" t="s">
        <v>89</v>
      </c>
    </row>
    <row r="30" spans="6:6" x14ac:dyDescent="0.3">
      <c r="F30" s="42" t="s">
        <v>90</v>
      </c>
    </row>
    <row r="31" spans="6:6" x14ac:dyDescent="0.3">
      <c r="F31" s="42" t="s">
        <v>91</v>
      </c>
    </row>
    <row r="32" spans="6:6" x14ac:dyDescent="0.3">
      <c r="F32" s="42" t="s">
        <v>81</v>
      </c>
    </row>
    <row r="33" spans="6:6" x14ac:dyDescent="0.3">
      <c r="F33" s="42" t="s">
        <v>82</v>
      </c>
    </row>
    <row r="34" spans="6:6" x14ac:dyDescent="0.3">
      <c r="F34" s="42" t="s">
        <v>83</v>
      </c>
    </row>
    <row r="35" spans="6:6" x14ac:dyDescent="0.3">
      <c r="F35" s="42" t="s">
        <v>92</v>
      </c>
    </row>
    <row r="36" spans="6:6" x14ac:dyDescent="0.3">
      <c r="F36" s="42" t="s">
        <v>72</v>
      </c>
    </row>
    <row r="37" spans="6:6" x14ac:dyDescent="0.3">
      <c r="F37" s="42" t="s">
        <v>73</v>
      </c>
    </row>
    <row r="38" spans="6:6" x14ac:dyDescent="0.3">
      <c r="F38" s="42" t="s">
        <v>74</v>
      </c>
    </row>
    <row r="39" spans="6:6" x14ac:dyDescent="0.3">
      <c r="F39" s="42" t="s">
        <v>75</v>
      </c>
    </row>
    <row r="40" spans="6:6" x14ac:dyDescent="0.3">
      <c r="F40" s="42" t="s">
        <v>76</v>
      </c>
    </row>
    <row r="41" spans="6:6" x14ac:dyDescent="0.3">
      <c r="F41" s="42" t="s">
        <v>77</v>
      </c>
    </row>
    <row r="42" spans="6:6" x14ac:dyDescent="0.3">
      <c r="F42" s="42" t="s">
        <v>78</v>
      </c>
    </row>
    <row r="43" spans="6:6" x14ac:dyDescent="0.3">
      <c r="F43" s="42" t="s">
        <v>79</v>
      </c>
    </row>
    <row r="44" spans="6:6" x14ac:dyDescent="0.3">
      <c r="F44" s="42" t="s">
        <v>93</v>
      </c>
    </row>
    <row r="45" spans="6:6" x14ac:dyDescent="0.3">
      <c r="F45" s="42" t="s">
        <v>81</v>
      </c>
    </row>
    <row r="46" spans="6:6" x14ac:dyDescent="0.3">
      <c r="F46" s="42" t="s">
        <v>82</v>
      </c>
    </row>
    <row r="47" spans="6:6" x14ac:dyDescent="0.3">
      <c r="F47" s="42" t="s">
        <v>83</v>
      </c>
    </row>
    <row r="48" spans="6:6" x14ac:dyDescent="0.3">
      <c r="F48" s="42" t="s">
        <v>94</v>
      </c>
    </row>
    <row r="49" spans="6:6" x14ac:dyDescent="0.3">
      <c r="F49" s="42" t="s">
        <v>72</v>
      </c>
    </row>
    <row r="50" spans="6:6" x14ac:dyDescent="0.3">
      <c r="F50" s="42" t="s">
        <v>73</v>
      </c>
    </row>
    <row r="51" spans="6:6" x14ac:dyDescent="0.3">
      <c r="F51" s="42" t="s">
        <v>74</v>
      </c>
    </row>
    <row r="52" spans="6:6" x14ac:dyDescent="0.3">
      <c r="F52" s="42" t="s">
        <v>75</v>
      </c>
    </row>
    <row r="53" spans="6:6" x14ac:dyDescent="0.3">
      <c r="F53" s="42" t="s">
        <v>76</v>
      </c>
    </row>
    <row r="54" spans="6:6" x14ac:dyDescent="0.3">
      <c r="F54" s="42" t="s">
        <v>77</v>
      </c>
    </row>
    <row r="55" spans="6:6" x14ac:dyDescent="0.3">
      <c r="F55" s="42" t="s">
        <v>95</v>
      </c>
    </row>
    <row r="56" spans="6:6" x14ac:dyDescent="0.3">
      <c r="F56" s="42" t="s">
        <v>79</v>
      </c>
    </row>
    <row r="57" spans="6:6" x14ac:dyDescent="0.3">
      <c r="F57" s="42" t="s">
        <v>80</v>
      </c>
    </row>
    <row r="58" spans="6:6" x14ac:dyDescent="0.3">
      <c r="F58" s="42" t="s">
        <v>81</v>
      </c>
    </row>
    <row r="59" spans="6:6" x14ac:dyDescent="0.3">
      <c r="F59" s="42" t="s">
        <v>82</v>
      </c>
    </row>
    <row r="60" spans="6:6" x14ac:dyDescent="0.3">
      <c r="F60" s="42" t="s">
        <v>83</v>
      </c>
    </row>
    <row r="61" spans="6:6" x14ac:dyDescent="0.3">
      <c r="F61" s="42" t="s">
        <v>96</v>
      </c>
    </row>
    <row r="62" spans="6:6" x14ac:dyDescent="0.3">
      <c r="F62" s="42" t="s">
        <v>72</v>
      </c>
    </row>
    <row r="63" spans="6:6" x14ac:dyDescent="0.3">
      <c r="F63" s="42" t="s">
        <v>73</v>
      </c>
    </row>
    <row r="64" spans="6:6" x14ac:dyDescent="0.3">
      <c r="F64" s="42" t="s">
        <v>74</v>
      </c>
    </row>
    <row r="65" spans="6:6" x14ac:dyDescent="0.3">
      <c r="F65" s="42" t="s">
        <v>75</v>
      </c>
    </row>
    <row r="66" spans="6:6" x14ac:dyDescent="0.3">
      <c r="F66" s="42" t="s">
        <v>76</v>
      </c>
    </row>
    <row r="67" spans="6:6" x14ac:dyDescent="0.3">
      <c r="F67" s="42" t="s">
        <v>77</v>
      </c>
    </row>
    <row r="68" spans="6:6" x14ac:dyDescent="0.3">
      <c r="F68" s="42" t="s">
        <v>95</v>
      </c>
    </row>
    <row r="69" spans="6:6" x14ac:dyDescent="0.3">
      <c r="F69" s="42" t="s">
        <v>79</v>
      </c>
    </row>
    <row r="70" spans="6:6" x14ac:dyDescent="0.3">
      <c r="F70" s="42" t="s">
        <v>93</v>
      </c>
    </row>
    <row r="71" spans="6:6" x14ac:dyDescent="0.3">
      <c r="F71" s="42" t="s">
        <v>81</v>
      </c>
    </row>
    <row r="72" spans="6:6" x14ac:dyDescent="0.3">
      <c r="F72" s="42" t="s">
        <v>82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C99ED91-048D-4092-95C0-96AF15C09E0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Profile</vt:lpstr>
      <vt:lpstr>Formula</vt:lpstr>
      <vt:lpstr>Table1</vt:lpstr>
      <vt:lpstr>Power Query</vt:lpstr>
      <vt:lpstr>VBA</vt:lpstr>
      <vt:lpstr>Ctrl + G</vt:lpstr>
      <vt:lpstr>Data</vt:lpstr>
      <vt:lpstr>AFE_hidden_codesheet_49ddb8b8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Havish Madhvapaty</dc:creator>
  <cp:lastModifiedBy>Havish Madhvapaty</cp:lastModifiedBy>
  <dcterms:created xsi:type="dcterms:W3CDTF">2022-04-13T13:02:00Z</dcterms:created>
  <dcterms:modified xsi:type="dcterms:W3CDTF">2022-04-14T10:07:39Z</dcterms:modified>
</cp:coreProperties>
</file>